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-rate 202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5" authorId="0">
      <text>
        <r>
          <rPr>
            <sz val="10"/>
            <rFont val="Arial"/>
            <family val="2"/>
          </rPr>
          <t xml:space="preserve">Oct-Dec 2027: the budget's remodeled rate, $125K a month (reopening Oct 1, 2027).</t>
        </r>
      </text>
    </comment>
  </commentList>
</comments>
</file>

<file path=xl/sharedStrings.xml><?xml version="1.0" encoding="utf-8"?>
<sst xmlns="http://schemas.openxmlformats.org/spreadsheetml/2006/main" count="34" uniqueCount="34">
  <si>
    <t xml:space="preserve">Parakeet Café · 2027 run-rate by store (financial budget)</t>
  </si>
  <si>
    <t xml:space="preserve">Net sales per month at today's run-rate: the last 45 days of Toast sales (Aug 31 – Oct 14, 2026), seasonally adjusted and held flat with normal seasons, as in Part 1 of the run-rate deck; Coronado +1.2%, La Jolla Juicery +1.5% and Newport Beach +1.9% on 2026 set by management. La Jolla Cove gets the budget's remodeled $125K a month from its Oct 1, 2027 reopening. Blue = values from the analysis; black = formulas.</t>
  </si>
  <si>
    <t xml:space="preserve">Store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</si>
  <si>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</si>
  <si>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</si>
  <si>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</si>
  <si>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</si>
  <si>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</si>
  <si>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</si>
  <si>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</si>
  <si>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</si>
  <si>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</si>
  <si>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</si>
  <si>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</si>
  <si>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</si>
  <si>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Q1</t>
  </si>
  <si>
    <t xml:space="preserve">Q2</t>
  </si>
  <si>
    <t xml:space="preserve">Q3</t>
  </si>
  <si>
    <t xml:space="preserve">Q4</t>
  </si>
  <si>
    <t xml:space="preserve">Total 2027</t>
  </si>
  <si>
    <t xml:space="preserve">2026 finish (run-rate)</t>
  </si>
  <si>
    <t xml:space="preserve">Growth</t>
  </si>
  <si>
    <t xml:space="preserve">Beverly Hills</t>
  </si>
  <si>
    <t xml:space="preserve">Brentwood</t>
  </si>
  <si>
    <t xml:space="preserve">Carlsbad</t>
  </si>
  <si>
    <t xml:space="preserve">Coronado</t>
  </si>
  <si>
    <t xml:space="preserve">Del Mar Café</t>
  </si>
  <si>
    <t xml:space="preserve">La Jolla Café</t>
  </si>
  <si>
    <t xml:space="preserve">La Jolla Juicery</t>
  </si>
  <si>
    <t xml:space="preserve">Little Italy Café</t>
  </si>
  <si>
    <t xml:space="preserve">Newport Beach</t>
  </si>
  <si>
    <t xml:space="preserve">Nine existing cafés</t>
  </si>
  <si>
    <t xml:space="preserve">La Jolla Cove</t>
  </si>
  <si>
    <t xml:space="preserve">Total, ten stores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</si>
</sst>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65A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A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0" min="2" style="0" width="12.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customFormat="false" ht="15" hidden="false" customHeight="false" outlineLevel="0" collapsed="false">
      <c r="A5" s="5" t="s">
        <v>22</v>
      </c>
      <c r="B5" s="6" t="n">
        <v>244129.31</v>
      </c>
      <c r="C5" s="6" t="n">
        <v>231908.44</v>
      </c>
      <c r="D5" s="6" t="n">
        <v>253167.44</v>
      </c>
      <c r="E5" s="6" t="n">
        <v>241855.28</v>
      </c>
      <c r="F5" s="6" t="n">
        <v>258652.41</v>
      </c>
      <c r="G5" s="6" t="n">
        <v>245524.88</v>
      </c>
      <c r="H5" s="6" t="n">
        <v>243705.05</v>
      </c>
      <c r="I5" s="6" t="n">
        <v>252544.21</v>
      </c>
      <c r="J5" s="6" t="n">
        <v>227909.68</v>
      </c>
      <c r="K5" s="6" t="n">
        <v>234556.51</v>
      </c>
      <c r="L5" s="6" t="n">
        <v>232672.46</v>
      </c>
      <c r="M5" s="6" t="n">
        <v>230481.58</v>
      </c>
      <c r="N5" s="7" t="n">
        <f aca="false">SUM(B5:D5)</f>
        <v>729205.19</v>
      </c>
      <c r="O5" s="7" t="n">
        <f aca="false">SUM(E5:G5)</f>
        <v>746032.57</v>
      </c>
      <c r="P5" s="7" t="n">
        <f aca="false">SUM(H5:J5)</f>
        <v>724158.94</v>
      </c>
      <c r="Q5" s="7" t="n">
        <f aca="false">SUM(K5:M5)</f>
        <v>697710.55</v>
      </c>
      <c r="R5" s="7" t="n">
        <f aca="false">SUM(B5:M5)</f>
        <v>2897107.25</v>
      </c>
      <c r="S5" s="6" t="n">
        <v>2606461.36</v>
      </c>
      <c r="T5" s="8" t="n">
        <f aca="false">IF(S5=0,"",R5/S5-1)</f>
        <v>0.111509763566954</v>
      </c>
    </row>
    <row r="6" customFormat="false" ht="15" hidden="false" customHeight="false" outlineLevel="0" collapsed="false">
      <c r="A6" s="5" t="s">
        <v>23</v>
      </c>
      <c r="B6" s="6" t="n">
        <v>218112.31</v>
      </c>
      <c r="C6" s="6" t="n">
        <v>187974.07</v>
      </c>
      <c r="D6" s="6" t="n">
        <v>206126.11</v>
      </c>
      <c r="E6" s="6" t="n">
        <v>195264.67</v>
      </c>
      <c r="F6" s="6" t="n">
        <v>207270.26</v>
      </c>
      <c r="G6" s="6" t="n">
        <v>180948.87</v>
      </c>
      <c r="H6" s="6" t="n">
        <v>180725.23</v>
      </c>
      <c r="I6" s="6" t="n">
        <v>187300.67</v>
      </c>
      <c r="J6" s="6" t="n">
        <v>186231.97</v>
      </c>
      <c r="K6" s="6" t="n">
        <v>204283.57</v>
      </c>
      <c r="L6" s="6" t="n">
        <v>202105.61</v>
      </c>
      <c r="M6" s="6" t="n">
        <v>189569.35</v>
      </c>
      <c r="N6" s="7" t="n">
        <f aca="false">SUM(B6:D6)</f>
        <v>612212.49</v>
      </c>
      <c r="O6" s="7" t="n">
        <f aca="false">SUM(E6:G6)</f>
        <v>583483.8</v>
      </c>
      <c r="P6" s="7" t="n">
        <f aca="false">SUM(H6:J6)</f>
        <v>554257.87</v>
      </c>
      <c r="Q6" s="7" t="n">
        <f aca="false">SUM(K6:M6)</f>
        <v>595958.53</v>
      </c>
      <c r="R6" s="7" t="n">
        <f aca="false">SUM(B6:M6)</f>
        <v>2345912.69</v>
      </c>
      <c r="S6" s="6" t="n">
        <v>2302939.27</v>
      </c>
      <c r="T6" s="8" t="n">
        <f aca="false">IF(S6=0,"",R6/S6-1)</f>
        <v>0.0186602489087782</v>
      </c>
    </row>
    <row r="7" customFormat="false" ht="15" hidden="false" customHeight="false" outlineLevel="0" collapsed="false">
      <c r="A7" s="5" t="s">
        <v>24</v>
      </c>
      <c r="B7" s="6" t="n">
        <v>334402.86</v>
      </c>
      <c r="C7" s="6" t="n">
        <v>289682.73</v>
      </c>
      <c r="D7" s="6" t="n">
        <v>332539.24</v>
      </c>
      <c r="E7" s="6" t="n">
        <v>332452.02</v>
      </c>
      <c r="F7" s="6" t="n">
        <v>354813.27</v>
      </c>
      <c r="G7" s="6" t="n">
        <v>318912.22</v>
      </c>
      <c r="H7" s="6" t="n">
        <v>336141.25</v>
      </c>
      <c r="I7" s="6" t="n">
        <v>327217.95</v>
      </c>
      <c r="J7" s="6" t="n">
        <v>289939.41</v>
      </c>
      <c r="K7" s="6" t="n">
        <v>301039.94</v>
      </c>
      <c r="L7" s="6" t="n">
        <v>310679.76</v>
      </c>
      <c r="M7" s="6" t="n">
        <v>340434.11</v>
      </c>
      <c r="N7" s="7" t="n">
        <f aca="false">SUM(B7:D7)</f>
        <v>956624.83</v>
      </c>
      <c r="O7" s="7" t="n">
        <f aca="false">SUM(E7:G7)</f>
        <v>1006177.51</v>
      </c>
      <c r="P7" s="7" t="n">
        <f aca="false">SUM(H7:J7)</f>
        <v>953298.61</v>
      </c>
      <c r="Q7" s="7" t="n">
        <f aca="false">SUM(K7:M7)</f>
        <v>952153.81</v>
      </c>
      <c r="R7" s="7" t="n">
        <f aca="false">SUM(B7:M7)</f>
        <v>3868254.76</v>
      </c>
      <c r="S7" s="6" t="n">
        <v>3723643.18</v>
      </c>
      <c r="T7" s="8" t="n">
        <f aca="false">IF(S7=0,"",R7/S7-1)</f>
        <v>0.0388360465838189</v>
      </c>
    </row>
    <row r="8" customFormat="false" ht="15" hidden="false" customHeight="false" outlineLevel="0" collapsed="false">
      <c r="A8" s="5" t="s">
        <v>25</v>
      </c>
      <c r="B8" s="6" t="n">
        <v>304268.62</v>
      </c>
      <c r="C8" s="6" t="n">
        <v>271984.27</v>
      </c>
      <c r="D8" s="6" t="n">
        <v>343112.23</v>
      </c>
      <c r="E8" s="6" t="n">
        <v>340962.4</v>
      </c>
      <c r="F8" s="6" t="n">
        <v>352494.75</v>
      </c>
      <c r="G8" s="6" t="n">
        <v>358264.66</v>
      </c>
      <c r="H8" s="6" t="n">
        <v>481005.17</v>
      </c>
      <c r="I8" s="6" t="n">
        <v>395686.53</v>
      </c>
      <c r="J8" s="6" t="n">
        <v>285426.24</v>
      </c>
      <c r="K8" s="6" t="n">
        <v>302819.39</v>
      </c>
      <c r="L8" s="6" t="n">
        <v>279767.36</v>
      </c>
      <c r="M8" s="6" t="n">
        <v>319521.76</v>
      </c>
      <c r="N8" s="7" t="n">
        <f aca="false">SUM(B8:D8)</f>
        <v>919365.12</v>
      </c>
      <c r="O8" s="7" t="n">
        <f aca="false">SUM(E8:G8)</f>
        <v>1051721.81</v>
      </c>
      <c r="P8" s="7" t="n">
        <f aca="false">SUM(H8:J8)</f>
        <v>1162117.94</v>
      </c>
      <c r="Q8" s="7" t="n">
        <f aca="false">SUM(K8:M8)</f>
        <v>902108.51</v>
      </c>
      <c r="R8" s="7" t="n">
        <f aca="false">SUM(B8:M8)</f>
        <v>4035313.38</v>
      </c>
      <c r="S8" s="6" t="n">
        <v>3987463.81</v>
      </c>
      <c r="T8" s="8" t="n">
        <f aca="false">IF(S8=0,"",R8/S8-1)</f>
        <v>0.0120000010733639</v>
      </c>
    </row>
    <row r="9" customFormat="false" ht="15" hidden="false" customHeight="false" outlineLevel="0" collapsed="false">
      <c r="A9" s="5" t="s">
        <v>26</v>
      </c>
      <c r="B9" s="6" t="n">
        <v>423082.57</v>
      </c>
      <c r="C9" s="6" t="n">
        <v>372521.04</v>
      </c>
      <c r="D9" s="6" t="n">
        <v>419604.74</v>
      </c>
      <c r="E9" s="6" t="n">
        <v>396647.13</v>
      </c>
      <c r="F9" s="6" t="n">
        <v>433892.5</v>
      </c>
      <c r="G9" s="6" t="n">
        <v>396921.91</v>
      </c>
      <c r="H9" s="6" t="n">
        <v>416020.86</v>
      </c>
      <c r="I9" s="6" t="n">
        <v>423128.12</v>
      </c>
      <c r="J9" s="6" t="n">
        <v>368460.31</v>
      </c>
      <c r="K9" s="6" t="n">
        <v>388453.38</v>
      </c>
      <c r="L9" s="6" t="n">
        <v>372752.6</v>
      </c>
      <c r="M9" s="6" t="n">
        <v>410322.11</v>
      </c>
      <c r="N9" s="7" t="n">
        <f aca="false">SUM(B9:D9)</f>
        <v>1215208.35</v>
      </c>
      <c r="O9" s="7" t="n">
        <f aca="false">SUM(E9:G9)</f>
        <v>1227461.54</v>
      </c>
      <c r="P9" s="7" t="n">
        <f aca="false">SUM(H9:J9)</f>
        <v>1207609.29</v>
      </c>
      <c r="Q9" s="7" t="n">
        <f aca="false">SUM(K9:M9)</f>
        <v>1171528.09</v>
      </c>
      <c r="R9" s="7" t="n">
        <f aca="false">SUM(B9:M9)</f>
        <v>4821807.27</v>
      </c>
      <c r="S9" s="6" t="n">
        <v>4665803.06</v>
      </c>
      <c r="T9" s="8" t="n">
        <f aca="false">IF(S9=0,"",R9/S9-1)</f>
        <v>0.0334356611271118</v>
      </c>
    </row>
    <row r="10" customFormat="false" ht="15" hidden="false" customHeight="false" outlineLevel="0" collapsed="false">
      <c r="A10" s="5" t="s">
        <v>27</v>
      </c>
      <c r="B10" s="6" t="n">
        <v>256111.5</v>
      </c>
      <c r="C10" s="6" t="n">
        <v>230595.91</v>
      </c>
      <c r="D10" s="6" t="n">
        <v>259571.77</v>
      </c>
      <c r="E10" s="6" t="n">
        <v>254138.19</v>
      </c>
      <c r="F10" s="6" t="n">
        <v>271587.17</v>
      </c>
      <c r="G10" s="6" t="n">
        <v>246311.93</v>
      </c>
      <c r="H10" s="6" t="n">
        <v>266115.92</v>
      </c>
      <c r="I10" s="6" t="n">
        <v>265558.61</v>
      </c>
      <c r="J10" s="6" t="n">
        <v>230670.4</v>
      </c>
      <c r="K10" s="6" t="n">
        <v>241340.93</v>
      </c>
      <c r="L10" s="6" t="n">
        <v>232404.14</v>
      </c>
      <c r="M10" s="6" t="n">
        <v>245741.31</v>
      </c>
      <c r="N10" s="7" t="n">
        <f aca="false">SUM(B10:D10)</f>
        <v>746279.18</v>
      </c>
      <c r="O10" s="7" t="n">
        <f aca="false">SUM(E10:G10)</f>
        <v>772037.29</v>
      </c>
      <c r="P10" s="7" t="n">
        <f aca="false">SUM(H10:J10)</f>
        <v>762344.93</v>
      </c>
      <c r="Q10" s="7" t="n">
        <f aca="false">SUM(K10:M10)</f>
        <v>719486.38</v>
      </c>
      <c r="R10" s="7" t="n">
        <f aca="false">SUM(B10:M10)</f>
        <v>3000147.78</v>
      </c>
      <c r="S10" s="6" t="n">
        <v>2904088.3</v>
      </c>
      <c r="T10" s="8" t="n">
        <f aca="false">IF(S10=0,"",R10/S10-1)</f>
        <v>0.0330773275729943</v>
      </c>
    </row>
    <row r="11" customFormat="false" ht="15" hidden="false" customHeight="false" outlineLevel="0" collapsed="false">
      <c r="A11" s="5" t="s">
        <v>28</v>
      </c>
      <c r="B11" s="6" t="n">
        <v>69181.69</v>
      </c>
      <c r="C11" s="6" t="n">
        <v>64652.9</v>
      </c>
      <c r="D11" s="6" t="n">
        <v>78208.46</v>
      </c>
      <c r="E11" s="6" t="n">
        <v>77236.17</v>
      </c>
      <c r="F11" s="6" t="n">
        <v>79612.28</v>
      </c>
      <c r="G11" s="6" t="n">
        <v>79044.62</v>
      </c>
      <c r="H11" s="6" t="n">
        <v>91768.97</v>
      </c>
      <c r="I11" s="6" t="n">
        <v>88605.96</v>
      </c>
      <c r="J11" s="6" t="n">
        <v>73219.48</v>
      </c>
      <c r="K11" s="6" t="n">
        <v>71363.32</v>
      </c>
      <c r="L11" s="6" t="n">
        <v>65078.78</v>
      </c>
      <c r="M11" s="6" t="n">
        <v>66482.87</v>
      </c>
      <c r="N11" s="7" t="n">
        <f aca="false">SUM(B11:D11)</f>
        <v>212043.05</v>
      </c>
      <c r="O11" s="7" t="n">
        <f aca="false">SUM(E11:G11)</f>
        <v>235893.07</v>
      </c>
      <c r="P11" s="7" t="n">
        <f aca="false">SUM(H11:J11)</f>
        <v>253594.41</v>
      </c>
      <c r="Q11" s="7" t="n">
        <f aca="false">SUM(K11:M11)</f>
        <v>202924.97</v>
      </c>
      <c r="R11" s="7" t="n">
        <f aca="false">SUM(B11:M11)</f>
        <v>904455.5</v>
      </c>
      <c r="S11" s="6" t="n">
        <v>891089.16</v>
      </c>
      <c r="T11" s="8" t="n">
        <f aca="false">IF(S11=0,"",R11/S11-1)</f>
        <v>0.0150000029177775</v>
      </c>
    </row>
    <row r="12" customFormat="false" ht="15" hidden="false" customHeight="false" outlineLevel="0" collapsed="false">
      <c r="A12" s="5" t="s">
        <v>29</v>
      </c>
      <c r="B12" s="6" t="n">
        <v>285790.73</v>
      </c>
      <c r="C12" s="6" t="n">
        <v>273663.61</v>
      </c>
      <c r="D12" s="6" t="n">
        <v>310376.27</v>
      </c>
      <c r="E12" s="6" t="n">
        <v>312887.62</v>
      </c>
      <c r="F12" s="6" t="n">
        <v>313994.63</v>
      </c>
      <c r="G12" s="6" t="n">
        <v>300353.69</v>
      </c>
      <c r="H12" s="6" t="n">
        <v>324484.57</v>
      </c>
      <c r="I12" s="6" t="n">
        <v>318037.96</v>
      </c>
      <c r="J12" s="6" t="n">
        <v>262452.58</v>
      </c>
      <c r="K12" s="6" t="n">
        <v>267776.94</v>
      </c>
      <c r="L12" s="6" t="n">
        <v>252450.69</v>
      </c>
      <c r="M12" s="6" t="n">
        <v>262157.72</v>
      </c>
      <c r="N12" s="7" t="n">
        <f aca="false">SUM(B12:D12)</f>
        <v>869830.61</v>
      </c>
      <c r="O12" s="7" t="n">
        <f aca="false">SUM(E12:G12)</f>
        <v>927235.94</v>
      </c>
      <c r="P12" s="7" t="n">
        <f aca="false">SUM(H12:J12)</f>
        <v>904975.11</v>
      </c>
      <c r="Q12" s="7" t="n">
        <f aca="false">SUM(K12:M12)</f>
        <v>782385.35</v>
      </c>
      <c r="R12" s="7" t="n">
        <f aca="false">SUM(B12:M12)</f>
        <v>3484427.01</v>
      </c>
      <c r="S12" s="6" t="n">
        <v>3248637.47</v>
      </c>
      <c r="T12" s="8" t="n">
        <f aca="false">IF(S12=0,"",R12/S12-1)</f>
        <v>0.0725810565744658</v>
      </c>
    </row>
    <row r="13" customFormat="false" ht="15" hidden="false" customHeight="false" outlineLevel="0" collapsed="false">
      <c r="A13" s="5" t="s">
        <v>30</v>
      </c>
      <c r="B13" s="6" t="n">
        <v>317104.86</v>
      </c>
      <c r="C13" s="6" t="n">
        <v>258815.62</v>
      </c>
      <c r="D13" s="6" t="n">
        <v>295542.83</v>
      </c>
      <c r="E13" s="6" t="n">
        <v>283889.45</v>
      </c>
      <c r="F13" s="6" t="n">
        <v>322496.36</v>
      </c>
      <c r="G13" s="6" t="n">
        <v>298929.26</v>
      </c>
      <c r="H13" s="6" t="n">
        <v>329005.04</v>
      </c>
      <c r="I13" s="6" t="n">
        <v>321268.22</v>
      </c>
      <c r="J13" s="6" t="n">
        <v>267310.05</v>
      </c>
      <c r="K13" s="6" t="n">
        <v>283481.43</v>
      </c>
      <c r="L13" s="6" t="n">
        <v>265471.68</v>
      </c>
      <c r="M13" s="6" t="n">
        <v>286925.72</v>
      </c>
      <c r="N13" s="7" t="n">
        <f aca="false">SUM(B13:D13)</f>
        <v>871463.31</v>
      </c>
      <c r="O13" s="7" t="n">
        <f aca="false">SUM(E13:G13)</f>
        <v>905315.07</v>
      </c>
      <c r="P13" s="7" t="n">
        <f aca="false">SUM(H13:J13)</f>
        <v>917583.31</v>
      </c>
      <c r="Q13" s="7" t="n">
        <f aca="false">SUM(K13:M13)</f>
        <v>835878.83</v>
      </c>
      <c r="R13" s="7" t="n">
        <f aca="false">SUM(B13:M13)</f>
        <v>3530240.52</v>
      </c>
      <c r="S13" s="6" t="n">
        <v>3464416.6</v>
      </c>
      <c r="T13" s="8" t="n">
        <f aca="false">IF(S13=0,"",R13/S13-1)</f>
        <v>0.0190000013277847</v>
      </c>
    </row>
    <row r="14" customFormat="false" ht="15" hidden="false" customHeight="false" outlineLevel="0" collapsed="false">
      <c r="A14" s="9" t="s">
        <v>31</v>
      </c>
      <c r="B14" s="10" t="n">
        <f aca="false">SUM(B5:B13)</f>
        <v>2452184.45</v>
      </c>
      <c r="C14" s="10" t="n">
        <f aca="false">SUM(C5:C13)</f>
        <v>2181798.59</v>
      </c>
      <c r="D14" s="10" t="n">
        <f aca="false">SUM(D5:D13)</f>
        <v>2498249.09</v>
      </c>
      <c r="E14" s="10" t="n">
        <f aca="false">SUM(E5:E13)</f>
        <v>2435332.93</v>
      </c>
      <c r="F14" s="10" t="n">
        <f aca="false">SUM(F5:F13)</f>
        <v>2594813.63</v>
      </c>
      <c r="G14" s="10" t="n">
        <f aca="false">SUM(G5:G13)</f>
        <v>2425212.04</v>
      </c>
      <c r="H14" s="10" t="n">
        <f aca="false">SUM(H5:H13)</f>
        <v>2668972.06</v>
      </c>
      <c r="I14" s="10" t="n">
        <f aca="false">SUM(I5:I13)</f>
        <v>2579348.23</v>
      </c>
      <c r="J14" s="10" t="n">
        <f aca="false">SUM(J5:J13)</f>
        <v>2191620.12</v>
      </c>
      <c r="K14" s="10" t="n">
        <f aca="false">SUM(K5:K13)</f>
        <v>2295115.41</v>
      </c>
      <c r="L14" s="10" t="n">
        <f aca="false">SUM(L5:L13)</f>
        <v>2213383.08</v>
      </c>
      <c r="M14" s="10" t="n">
        <f aca="false">SUM(M5:M13)</f>
        <v>2351636.53</v>
      </c>
      <c r="N14" s="10" t="n">
        <f aca="false">SUM(N5:N13)</f>
        <v>7132232.13</v>
      </c>
      <c r="O14" s="10" t="n">
        <f aca="false">SUM(O5:O13)</f>
        <v>7455358.6</v>
      </c>
      <c r="P14" s="10" t="n">
        <f aca="false">SUM(P5:P13)</f>
        <v>7439940.41</v>
      </c>
      <c r="Q14" s="10" t="n">
        <f aca="false">SUM(Q5:Q13)</f>
        <v>6860135.02</v>
      </c>
      <c r="R14" s="10" t="n">
        <f aca="false">SUM(R5:R13)</f>
        <v>28887666.16</v>
      </c>
      <c r="S14" s="10" t="n">
        <f aca="false">SUM(S5:S13)</f>
        <v>27794542.21</v>
      </c>
      <c r="T14" s="11" t="n">
        <f aca="false">IF(S14=0,"",R14/S14-1)</f>
        <v>0.0393287265442606</v>
      </c>
    </row>
    <row r="15" customFormat="false" ht="15" hidden="false" customHeight="false" outlineLevel="0" collapsed="false">
      <c r="A15" s="5" t="s">
        <v>32</v>
      </c>
      <c r="B15" s="6" t="n">
        <v>48057.63</v>
      </c>
      <c r="C15" s="6" t="n">
        <v>45987.48</v>
      </c>
      <c r="D15" s="6" t="n">
        <v>54477.09</v>
      </c>
      <c r="E15" s="6" t="n">
        <v>54981.37</v>
      </c>
      <c r="F15" s="6" t="n">
        <v>57852.54</v>
      </c>
      <c r="G15" s="6" t="n">
        <v>56001.08</v>
      </c>
      <c r="H15" s="6" t="n">
        <v>64239.44</v>
      </c>
      <c r="I15" s="6" t="n">
        <v>59561.54</v>
      </c>
      <c r="J15" s="6" t="n">
        <v>52164.18</v>
      </c>
      <c r="K15" s="6" t="n">
        <v>125000</v>
      </c>
      <c r="L15" s="6" t="n">
        <v>125000</v>
      </c>
      <c r="M15" s="6" t="n">
        <v>125000</v>
      </c>
      <c r="N15" s="7" t="n">
        <f aca="false">SUM(B15:D15)</f>
        <v>148522.2</v>
      </c>
      <c r="O15" s="7" t="n">
        <f aca="false">SUM(E15:G15)</f>
        <v>168834.99</v>
      </c>
      <c r="P15" s="7" t="n">
        <f aca="false">SUM(H15:J15)</f>
        <v>175965.16</v>
      </c>
      <c r="Q15" s="7" t="n">
        <f aca="false">SUM(K15:M15)</f>
        <v>375000</v>
      </c>
      <c r="R15" s="7" t="n">
        <f aca="false">SUM(B15:M15)</f>
        <v>868322.35</v>
      </c>
      <c r="S15" s="6" t="n">
        <v>636109.61</v>
      </c>
      <c r="T15" s="8" t="n">
        <f aca="false">IF(S15=0,"",R15/S15-1)</f>
        <v>0.365051457090862</v>
      </c>
    </row>
    <row r="16" customFormat="false" ht="15" hidden="false" customHeight="false" outlineLevel="0" collapsed="false">
      <c r="A16" s="9" t="s">
        <v>33</v>
      </c>
      <c r="B16" s="10" t="n">
        <f aca="false">B14+B15</f>
        <v>2500242.08</v>
      </c>
      <c r="C16" s="10" t="n">
        <f aca="false">C14+C15</f>
        <v>2227786.07</v>
      </c>
      <c r="D16" s="10" t="n">
        <f aca="false">D14+D15</f>
        <v>2552726.18</v>
      </c>
      <c r="E16" s="10" t="n">
        <f aca="false">E14+E15</f>
        <v>2490314.3</v>
      </c>
      <c r="F16" s="10" t="n">
        <f aca="false">F14+F15</f>
        <v>2652666.17</v>
      </c>
      <c r="G16" s="10" t="n">
        <f aca="false">G14+G15</f>
        <v>2481213.12</v>
      </c>
      <c r="H16" s="10" t="n">
        <f aca="false">H14+H15</f>
        <v>2733211.5</v>
      </c>
      <c r="I16" s="10" t="n">
        <f aca="false">I14+I15</f>
        <v>2638909.77</v>
      </c>
      <c r="J16" s="10" t="n">
        <f aca="false">J14+J15</f>
        <v>2243784.3</v>
      </c>
      <c r="K16" s="10" t="n">
        <f aca="false">K14+K15</f>
        <v>2420115.41</v>
      </c>
      <c r="L16" s="10" t="n">
        <f aca="false">L14+L15</f>
        <v>2338383.08</v>
      </c>
      <c r="M16" s="10" t="n">
        <f aca="false">M14+M15</f>
        <v>2476636.53</v>
      </c>
      <c r="N16" s="10" t="n">
        <f aca="false">N14+N15</f>
        <v>7280754.33</v>
      </c>
      <c r="O16" s="10" t="n">
        <f aca="false">O14+O15</f>
        <v>7624193.59</v>
      </c>
      <c r="P16" s="10" t="n">
        <f aca="false">P14+P15</f>
        <v>7615905.57</v>
      </c>
      <c r="Q16" s="10" t="n">
        <f aca="false">Q14+Q15</f>
        <v>7235135.02</v>
      </c>
      <c r="R16" s="10" t="n">
        <f aca="false">R14+R15</f>
        <v>29755988.51</v>
      </c>
      <c r="S16" s="10" t="n">
        <f aca="false">S14+S15</f>
        <v>28430651.82</v>
      </c>
      <c r="T16" s="11" t="n">
        <f aca="false">IF(S16=0,"",R16/S16-1)</f>
        <v>0.0466164721931444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2026-10-20T21:47:00Z</dcterms:created>
  <dc:creator>openpyxl</dc:creator>
  <dc:description/>
  <dc:language>en-US</dc:language>
  <cp:lastModifiedBy/>
  <dcterms:modified xsi:type="dcterms:W3CDTF">2026-10-20T21:47:00Z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