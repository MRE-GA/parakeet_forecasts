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<sst xmlns="http://schemas.openxmlformats.org/spreadsheetml/2006/main" count="338" uniqueCount="63">
  <si>
    <t xml:space="preserve">Parakeet Café · 2027 sales targets by store</t>
  </si>
  <si>
    <t xml:space="preserve">Net sales targets per month (our plan; La Jolla Cove switches to the budget's remodeled rate from its Oct 1, 2027 reopening).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</si>
  <si>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</si>
  <si>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</si>
  <si>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</si>
  <si>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</si>
  <si>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</si>
  <si>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</si>
  <si>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</si>
  <si>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</si>
  <si>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</si>
  <si>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</si>
  <si>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</si>
  <si>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</si>
  <si>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</si>
  <si>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</si>
  <si>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</si>
  <si>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</si>
  <si>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</si>
  <si>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</si>
  <si>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</si>
  <si>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</si>
  <si>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</si>
  <si>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</si>
  <si>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</si>
  <si>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</si>
  <si>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</si>
  <si>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</si>
  <si>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</si>
  <si>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</si>
  <si>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</si>
  <si>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</si>
  <si>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</si>
  <si>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</si>
  <si>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</si>
  <si>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</si>
  <si>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</si>
  <si>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</si>
  <si>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</si>
  <si>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</si>
  <si>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</si>
  <si>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</si>
  <si>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</si>
  <si>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</si>
  <si>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</si>
  <si>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</si>
  <si>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</si>
  <si>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</si>
  <si>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</si>
  <si>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</si>
  <si>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</si>
  <si>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</si>
  <si>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</si>
  <si>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</si>
  <si>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run-rate = last 45 days seasonally adjusted; target = our plan.</t>
  </si>
  <si>
    <t xml:space="preserve">2025 actual (Toast)</t>
  </si>
  <si>
    <t xml:space="preserve">2026 finish: budget</t>
  </si>
  <si>
    <t xml:space="preserve">2026 finish: run-rate</t>
  </si>
  <si>
    <t xml:space="preserve">2027: budget</t>
  </si>
  <si>
    <t xml:space="preserve">2027: run-rate objective</t>
  </si>
  <si>
    <t xml:space="preserve">2027: target</t>
  </si>
  <si>
    <t xml:space="preserve">Target vs budget</t>
  </si>
  <si>
    <t xml:space="preserve">La Jolla Cove's run-rate objective and target include the budget's remodeled $125K a month from Oct 1, 2027. New cafés are not included.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</si>
</sst>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240335.44</v>
      </c>
      <c r="C5" s="6" t="n">
        <v>232184.11</v>
      </c>
      <c r="D5" s="6" t="n">
        <v>257387.11</v>
      </c>
      <c r="E5" s="6" t="n">
        <v>248190.77</v>
      </c>
      <c r="F5" s="6" t="n">
        <v>272444.59</v>
      </c>
      <c r="G5" s="6" t="n">
        <v>263775.07</v>
      </c>
      <c r="H5" s="6" t="n">
        <v>269201.25</v>
      </c>
      <c r="I5" s="6" t="n">
        <v>281751.13</v>
      </c>
      <c r="J5" s="6" t="n">
        <v>256443.1</v>
      </c>
      <c r="K5" s="6" t="n">
        <v>265311.55</v>
      </c>
      <c r="L5" s="6" t="n">
        <v>266803.98</v>
      </c>
      <c r="M5" s="6" t="n">
        <v>265578.91</v>
      </c>
      <c r="N5" s="7" t="n">
        <f aca="false">SUM(B5:D5)</f>
        <v>729906.66</v>
      </c>
      <c r="O5" s="7" t="n">
        <f aca="false">SUM(E5:G5)</f>
        <v>784410.43</v>
      </c>
      <c r="P5" s="7" t="n">
        <f aca="false">SUM(H5:J5)</f>
        <v>807395.48</v>
      </c>
      <c r="Q5" s="7" t="n">
        <f aca="false">SUM(K5:M5)</f>
        <v>797694.44</v>
      </c>
      <c r="R5" s="7" t="n">
        <f aca="false">SUM(B5:M5)</f>
        <v>3119407.01</v>
      </c>
      <c r="S5" s="6" t="n">
        <v>2606461.36</v>
      </c>
      <c r="T5" s="8" t="n">
        <f aca="false">IF(S5=0,"",R5/S5-1)</f>
        <v>0.196797718881204</v>
      </c>
    </row>
    <row r="6" customFormat="false" ht="15" hidden="false" customHeight="false" outlineLevel="0" collapsed="false">
      <c r="A6" s="5" t="s">
        <v>23</v>
      </c>
      <c r="B6" s="6" t="n">
        <v>227289.23</v>
      </c>
      <c r="C6" s="6" t="n">
        <v>203905.78</v>
      </c>
      <c r="D6" s="6" t="n">
        <v>222438.88</v>
      </c>
      <c r="E6" s="6" t="n">
        <v>214066.03</v>
      </c>
      <c r="F6" s="6" t="n">
        <v>230110.53</v>
      </c>
      <c r="G6" s="6" t="n">
        <v>204562.27</v>
      </c>
      <c r="H6" s="6" t="n">
        <v>205433.25</v>
      </c>
      <c r="I6" s="6" t="n">
        <v>216074.01</v>
      </c>
      <c r="J6" s="6" t="n">
        <v>215120.82</v>
      </c>
      <c r="K6" s="6" t="n">
        <v>238271.16</v>
      </c>
      <c r="L6" s="6" t="n">
        <v>237928.07</v>
      </c>
      <c r="M6" s="6" t="n">
        <v>226464.41</v>
      </c>
      <c r="N6" s="7" t="n">
        <f aca="false">SUM(B6:D6)</f>
        <v>653633.89</v>
      </c>
      <c r="O6" s="7" t="n">
        <f aca="false">SUM(E6:G6)</f>
        <v>648738.83</v>
      </c>
      <c r="P6" s="7" t="n">
        <f aca="false">SUM(H6:J6)</f>
        <v>636628.08</v>
      </c>
      <c r="Q6" s="7" t="n">
        <f aca="false">SUM(K6:M6)</f>
        <v>702663.64</v>
      </c>
      <c r="R6" s="7" t="n">
        <f aca="false">SUM(B6:M6)</f>
        <v>2641664.44</v>
      </c>
      <c r="S6" s="6" t="n">
        <v>2302939.27</v>
      </c>
      <c r="T6" s="8" t="n">
        <f aca="false">IF(S6=0,"",R6/S6-1)</f>
        <v>0.147083848198915</v>
      </c>
    </row>
    <row r="7" customFormat="false" ht="15" hidden="false" customHeight="false" outlineLevel="0" collapsed="false">
      <c r="A7" s="5" t="s">
        <v>24</v>
      </c>
      <c r="B7" s="6" t="n">
        <v>347155.87</v>
      </c>
      <c r="C7" s="6" t="n">
        <v>303859.01</v>
      </c>
      <c r="D7" s="6" t="n">
        <v>350055.72</v>
      </c>
      <c r="E7" s="6" t="n">
        <v>355295.68</v>
      </c>
      <c r="F7" s="6" t="n">
        <v>381551.8</v>
      </c>
      <c r="G7" s="6" t="n">
        <v>347223.39</v>
      </c>
      <c r="H7" s="6" t="n">
        <v>370112.79</v>
      </c>
      <c r="I7" s="6" t="n">
        <v>362058.09</v>
      </c>
      <c r="J7" s="6" t="n">
        <v>325338.38</v>
      </c>
      <c r="K7" s="6" t="n">
        <v>343803.24</v>
      </c>
      <c r="L7" s="6" t="n">
        <v>356440.28</v>
      </c>
      <c r="M7" s="6" t="n">
        <v>390772.6</v>
      </c>
      <c r="N7" s="7" t="n">
        <f aca="false">SUM(B7:D7)</f>
        <v>1001070.6</v>
      </c>
      <c r="O7" s="7" t="n">
        <f aca="false">SUM(E7:G7)</f>
        <v>1084070.87</v>
      </c>
      <c r="P7" s="7" t="n">
        <f aca="false">SUM(H7:J7)</f>
        <v>1057509.26</v>
      </c>
      <c r="Q7" s="7" t="n">
        <f aca="false">SUM(K7:M7)</f>
        <v>1091016.12</v>
      </c>
      <c r="R7" s="7" t="n">
        <f aca="false">SUM(B7:M7)</f>
        <v>4233666.85</v>
      </c>
      <c r="S7" s="6" t="n">
        <v>3723643.18</v>
      </c>
      <c r="T7" s="8" t="n">
        <f aca="false">IF(S7=0,"",R7/S7-1)</f>
        <v>0.136968996583609</v>
      </c>
    </row>
    <row r="8" customFormat="false" ht="15" hidden="false" customHeight="false" outlineLevel="0" collapsed="false">
      <c r="A8" s="5" t="s">
        <v>25</v>
      </c>
      <c r="B8" s="6" t="n">
        <v>312399.46</v>
      </c>
      <c r="C8" s="6" t="n">
        <v>281595.6</v>
      </c>
      <c r="D8" s="6" t="n">
        <v>362333.45</v>
      </c>
      <c r="E8" s="6" t="n">
        <v>356921.7</v>
      </c>
      <c r="F8" s="6" t="n">
        <v>376891.75</v>
      </c>
      <c r="G8" s="6" t="n">
        <v>378275.27</v>
      </c>
      <c r="H8" s="6" t="n">
        <v>516508.85</v>
      </c>
      <c r="I8" s="6" t="n">
        <v>427274.35</v>
      </c>
      <c r="J8" s="6" t="n">
        <v>310518.86</v>
      </c>
      <c r="K8" s="6" t="n">
        <v>327674.08</v>
      </c>
      <c r="L8" s="6" t="n">
        <v>306577.59</v>
      </c>
      <c r="M8" s="6" t="n">
        <v>350719.75</v>
      </c>
      <c r="N8" s="7" t="n">
        <f aca="false">SUM(B8:D8)</f>
        <v>956328.51</v>
      </c>
      <c r="O8" s="7" t="n">
        <f aca="false">SUM(E8:G8)</f>
        <v>1112088.72</v>
      </c>
      <c r="P8" s="7" t="n">
        <f aca="false">SUM(H8:J8)</f>
        <v>1254302.06</v>
      </c>
      <c r="Q8" s="7" t="n">
        <f aca="false">SUM(K8:M8)</f>
        <v>984971.42</v>
      </c>
      <c r="R8" s="7" t="n">
        <f aca="false">SUM(B8:M8)</f>
        <v>4307690.71</v>
      </c>
      <c r="S8" s="6" t="n">
        <v>3987463.81</v>
      </c>
      <c r="T8" s="8" t="n">
        <f aca="false">IF(S8=0,"",R8/S8-1)</f>
        <v>0.0803084153884772</v>
      </c>
    </row>
    <row r="9" customFormat="false" ht="15" hidden="false" customHeight="false" outlineLevel="0" collapsed="false">
      <c r="A9" s="5" t="s">
        <v>26</v>
      </c>
      <c r="B9" s="6" t="n">
        <v>430949.59</v>
      </c>
      <c r="C9" s="6" t="n">
        <v>383310.31</v>
      </c>
      <c r="D9" s="6" t="n">
        <v>438484.65</v>
      </c>
      <c r="E9" s="6" t="n">
        <v>416409.53</v>
      </c>
      <c r="F9" s="6" t="n">
        <v>454594.01</v>
      </c>
      <c r="G9" s="6" t="n">
        <v>421443.45</v>
      </c>
      <c r="H9" s="6" t="n">
        <v>444464.45</v>
      </c>
      <c r="I9" s="6" t="n">
        <v>462061.08</v>
      </c>
      <c r="J9" s="6" t="n">
        <v>403897.6</v>
      </c>
      <c r="K9" s="6" t="n">
        <v>425684.45</v>
      </c>
      <c r="L9" s="6" t="n">
        <v>416009.75</v>
      </c>
      <c r="M9" s="6" t="n">
        <v>453974.83</v>
      </c>
      <c r="N9" s="7" t="n">
        <f aca="false">SUM(B9:D9)</f>
        <v>1252744.55</v>
      </c>
      <c r="O9" s="7" t="n">
        <f aca="false">SUM(E9:G9)</f>
        <v>1292446.99</v>
      </c>
      <c r="P9" s="7" t="n">
        <f aca="false">SUM(H9:J9)</f>
        <v>1310423.13</v>
      </c>
      <c r="Q9" s="7" t="n">
        <f aca="false">SUM(K9:M9)</f>
        <v>1295669.03</v>
      </c>
      <c r="R9" s="7" t="n">
        <f aca="false">SUM(B9:M9)</f>
        <v>5151283.7</v>
      </c>
      <c r="S9" s="6" t="n">
        <v>4665803.06</v>
      </c>
      <c r="T9" s="8" t="n">
        <f aca="false">IF(S9=0,"",R9/S9-1)</f>
        <v>0.104050821210615</v>
      </c>
    </row>
    <row r="10" customFormat="false" ht="15" hidden="false" customHeight="false" outlineLevel="0" collapsed="false">
      <c r="A10" s="5" t="s">
        <v>27</v>
      </c>
      <c r="B10" s="6" t="n">
        <v>257347.15</v>
      </c>
      <c r="C10" s="6" t="n">
        <v>234138.23</v>
      </c>
      <c r="D10" s="6" t="n">
        <v>265056.56</v>
      </c>
      <c r="E10" s="6" t="n">
        <v>262039.19</v>
      </c>
      <c r="F10" s="6" t="n">
        <v>279695.99</v>
      </c>
      <c r="G10" s="6" t="n">
        <v>254919.15</v>
      </c>
      <c r="H10" s="6" t="n">
        <v>278642.95</v>
      </c>
      <c r="I10" s="6" t="n">
        <v>278428.66</v>
      </c>
      <c r="J10" s="6" t="n">
        <v>244515.81</v>
      </c>
      <c r="K10" s="6" t="n">
        <v>257847.21</v>
      </c>
      <c r="L10" s="6" t="n">
        <v>250121.21</v>
      </c>
      <c r="M10" s="6" t="n">
        <v>264806</v>
      </c>
      <c r="N10" s="7" t="n">
        <f aca="false">SUM(B10:D10)</f>
        <v>756541.94</v>
      </c>
      <c r="O10" s="7" t="n">
        <f aca="false">SUM(E10:G10)</f>
        <v>796654.33</v>
      </c>
      <c r="P10" s="7" t="n">
        <f aca="false">SUM(H10:J10)</f>
        <v>801587.42</v>
      </c>
      <c r="Q10" s="7" t="n">
        <f aca="false">SUM(K10:M10)</f>
        <v>772774.42</v>
      </c>
      <c r="R10" s="7" t="n">
        <f aca="false">SUM(B10:M10)</f>
        <v>3127558.11</v>
      </c>
      <c r="S10" s="6" t="n">
        <v>2904088.3</v>
      </c>
      <c r="T10" s="8" t="n">
        <f aca="false">IF(S10=0,"",R10/S10-1)</f>
        <v>0.0769500741420295</v>
      </c>
    </row>
    <row r="11" customFormat="false" ht="15" hidden="false" customHeight="false" outlineLevel="0" collapsed="false">
      <c r="A11" s="5" t="s">
        <v>28</v>
      </c>
      <c r="B11" s="6" t="n">
        <v>70024.33</v>
      </c>
      <c r="C11" s="6" t="n">
        <v>65363.47</v>
      </c>
      <c r="D11" s="6" t="n">
        <v>80282.84</v>
      </c>
      <c r="E11" s="6" t="n">
        <v>78691.41</v>
      </c>
      <c r="F11" s="6" t="n">
        <v>81914.6</v>
      </c>
      <c r="G11" s="6" t="n">
        <v>80680.83</v>
      </c>
      <c r="H11" s="6" t="n">
        <v>95117.93</v>
      </c>
      <c r="I11" s="6" t="n">
        <v>92412.44</v>
      </c>
      <c r="J11" s="6" t="n">
        <v>75560.91</v>
      </c>
      <c r="K11" s="6" t="n">
        <v>74362.39</v>
      </c>
      <c r="L11" s="6" t="n">
        <v>67804.32</v>
      </c>
      <c r="M11" s="6" t="n">
        <v>69510.22</v>
      </c>
      <c r="N11" s="7" t="n">
        <f aca="false">SUM(B11:D11)</f>
        <v>215670.64</v>
      </c>
      <c r="O11" s="7" t="n">
        <f aca="false">SUM(E11:G11)</f>
        <v>241286.84</v>
      </c>
      <c r="P11" s="7" t="n">
        <f aca="false">SUM(H11:J11)</f>
        <v>263091.28</v>
      </c>
      <c r="Q11" s="7" t="n">
        <f aca="false">SUM(K11:M11)</f>
        <v>211676.93</v>
      </c>
      <c r="R11" s="7" t="n">
        <f aca="false">SUM(B11:M11)</f>
        <v>931725.69</v>
      </c>
      <c r="S11" s="6" t="n">
        <v>891089.16</v>
      </c>
      <c r="T11" s="8" t="n">
        <f aca="false">IF(S11=0,"",R11/S11-1)</f>
        <v>0.0456032143854157</v>
      </c>
    </row>
    <row r="12" customFormat="false" ht="15" hidden="false" customHeight="false" outlineLevel="0" collapsed="false">
      <c r="A12" s="5" t="s">
        <v>29</v>
      </c>
      <c r="B12" s="6" t="n">
        <v>296914.31</v>
      </c>
      <c r="C12" s="6" t="n">
        <v>286294.25</v>
      </c>
      <c r="D12" s="6" t="n">
        <v>338579.82</v>
      </c>
      <c r="E12" s="6" t="n">
        <v>342033.7</v>
      </c>
      <c r="F12" s="6" t="n">
        <v>347090.01</v>
      </c>
      <c r="G12" s="6" t="n">
        <v>332147.99</v>
      </c>
      <c r="H12" s="6" t="n">
        <v>367354.16</v>
      </c>
      <c r="I12" s="6" t="n">
        <v>368327.3</v>
      </c>
      <c r="J12" s="6" t="n">
        <v>307233.84</v>
      </c>
      <c r="K12" s="6" t="n">
        <v>316289.17</v>
      </c>
      <c r="L12" s="6" t="n">
        <v>306667.72</v>
      </c>
      <c r="M12" s="6" t="n">
        <v>319163.66</v>
      </c>
      <c r="N12" s="7" t="n">
        <f aca="false">SUM(B12:D12)</f>
        <v>921788.38</v>
      </c>
      <c r="O12" s="7" t="n">
        <f aca="false">SUM(E12:G12)</f>
        <v>1021271.7</v>
      </c>
      <c r="P12" s="7" t="n">
        <f aca="false">SUM(H12:J12)</f>
        <v>1042915.3</v>
      </c>
      <c r="Q12" s="7" t="n">
        <f aca="false">SUM(K12:M12)</f>
        <v>942120.55</v>
      </c>
      <c r="R12" s="7" t="n">
        <f aca="false">SUM(B12:M12)</f>
        <v>3928095.93</v>
      </c>
      <c r="S12" s="6" t="n">
        <v>3248637.47</v>
      </c>
      <c r="T12" s="8" t="n">
        <f aca="false">IF(S12=0,"",R12/S12-1)</f>
        <v>0.209151826350141</v>
      </c>
    </row>
    <row r="13" customFormat="false" ht="15" hidden="false" customHeight="false" outlineLevel="0" collapsed="false">
      <c r="A13" s="5" t="s">
        <v>30</v>
      </c>
      <c r="B13" s="6" t="n">
        <v>327146.38</v>
      </c>
      <c r="C13" s="6" t="n">
        <v>271492.7</v>
      </c>
      <c r="D13" s="6" t="n">
        <v>316609.81</v>
      </c>
      <c r="E13" s="6" t="n">
        <v>307133.63</v>
      </c>
      <c r="F13" s="6" t="n">
        <v>349631.07</v>
      </c>
      <c r="G13" s="6" t="n">
        <v>326325.44</v>
      </c>
      <c r="H13" s="6" t="n">
        <v>363061.05</v>
      </c>
      <c r="I13" s="6" t="n">
        <v>359674.68</v>
      </c>
      <c r="J13" s="6" t="n">
        <v>296046.26</v>
      </c>
      <c r="K13" s="6" t="n">
        <v>317470.65</v>
      </c>
      <c r="L13" s="6" t="n">
        <v>297737.89</v>
      </c>
      <c r="M13" s="6" t="n">
        <v>322139.38</v>
      </c>
      <c r="N13" s="7" t="n">
        <f aca="false">SUM(B13:D13)</f>
        <v>915248.89</v>
      </c>
      <c r="O13" s="7" t="n">
        <f aca="false">SUM(E13:G13)</f>
        <v>983090.14</v>
      </c>
      <c r="P13" s="7" t="n">
        <f aca="false">SUM(H13:J13)</f>
        <v>1018781.99</v>
      </c>
      <c r="Q13" s="7" t="n">
        <f aca="false">SUM(K13:M13)</f>
        <v>937347.92</v>
      </c>
      <c r="R13" s="7" t="n">
        <f aca="false">SUM(B13:M13)</f>
        <v>3854468.94</v>
      </c>
      <c r="S13" s="6" t="n">
        <v>3464416.6</v>
      </c>
      <c r="T13" s="8" t="n">
        <f aca="false">IF(S13=0,"",R13/S13-1)</f>
        <v>0.112588174297514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2509561.76</v>
      </c>
      <c r="C14" s="10" t="n">
        <f aca="false">SUM(C5:C13)</f>
        <v>2262143.46</v>
      </c>
      <c r="D14" s="10" t="n">
        <f aca="false">SUM(D5:D13)</f>
        <v>2631228.84</v>
      </c>
      <c r="E14" s="10" t="n">
        <f aca="false">SUM(E5:E13)</f>
        <v>2580781.64</v>
      </c>
      <c r="F14" s="10" t="n">
        <f aca="false">SUM(F5:F13)</f>
        <v>2773924.35</v>
      </c>
      <c r="G14" s="10" t="n">
        <f aca="false">SUM(G5:G13)</f>
        <v>2609352.86</v>
      </c>
      <c r="H14" s="10" t="n">
        <f aca="false">SUM(H5:H13)</f>
        <v>2909896.68</v>
      </c>
      <c r="I14" s="10" t="n">
        <f aca="false">SUM(I5:I13)</f>
        <v>2848061.74</v>
      </c>
      <c r="J14" s="10" t="n">
        <f aca="false">SUM(J5:J13)</f>
        <v>2434675.58</v>
      </c>
      <c r="K14" s="10" t="n">
        <f aca="false">SUM(K5:K13)</f>
        <v>2566713.9</v>
      </c>
      <c r="L14" s="10" t="n">
        <f aca="false">SUM(L5:L13)</f>
        <v>2506090.81</v>
      </c>
      <c r="M14" s="10" t="n">
        <f aca="false">SUM(M5:M13)</f>
        <v>2663129.76</v>
      </c>
      <c r="N14" s="10" t="n">
        <f aca="false">SUM(N5:N13)</f>
        <v>7402934.06</v>
      </c>
      <c r="O14" s="10" t="n">
        <f aca="false">SUM(O5:O13)</f>
        <v>7964058.85</v>
      </c>
      <c r="P14" s="10" t="n">
        <f aca="false">SUM(P5:P13)</f>
        <v>8192634</v>
      </c>
      <c r="Q14" s="10" t="n">
        <f aca="false">SUM(Q5:Q13)</f>
        <v>7735934.47</v>
      </c>
      <c r="R14" s="10" t="n">
        <f aca="false">SUM(R5:R13)</f>
        <v>31295561.38</v>
      </c>
      <c r="S14" s="10" t="n">
        <f aca="false">SUM(S5:S13)</f>
        <v>27794542.21</v>
      </c>
      <c r="T14" s="11" t="n">
        <f aca="false">IF(S14=0,"",R14/S14-1)</f>
        <v>0.125960670391628</v>
      </c>
    </row>
    <row r="15" customFormat="false" ht="15" hidden="false" customHeight="false" outlineLevel="0" collapsed="false">
      <c r="A15" s="5" t="s">
        <v>32</v>
      </c>
      <c r="B15" s="6" t="n">
        <v>49132.16</v>
      </c>
      <c r="C15" s="6" t="n">
        <v>47789.29</v>
      </c>
      <c r="D15" s="6" t="n">
        <v>57042.34</v>
      </c>
      <c r="E15" s="6" t="n">
        <v>58246.45</v>
      </c>
      <c r="F15" s="6" t="n">
        <v>61613.98</v>
      </c>
      <c r="G15" s="6" t="n">
        <v>59373.16</v>
      </c>
      <c r="H15" s="6" t="n">
        <v>69005.96</v>
      </c>
      <c r="I15" s="6" t="n">
        <v>63974.68</v>
      </c>
      <c r="J15" s="6" t="n">
        <v>55593.97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153963.79</v>
      </c>
      <c r="O15" s="7" t="n">
        <f aca="false">SUM(E15:G15)</f>
        <v>179233.59</v>
      </c>
      <c r="P15" s="7" t="n">
        <f aca="false">SUM(H15:J15)</f>
        <v>188574.61</v>
      </c>
      <c r="Q15" s="7" t="n">
        <f aca="false">SUM(K15:M15)</f>
        <v>375000</v>
      </c>
      <c r="R15" s="7" t="n">
        <f aca="false">SUM(B15:M15)</f>
        <v>896771.99</v>
      </c>
      <c r="S15" s="6" t="n">
        <v>636109.61</v>
      </c>
      <c r="T15" s="8" t="n">
        <f aca="false">IF(S15=0,"",R15/S15-1)</f>
        <v>0.409775887523536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2558693.92</v>
      </c>
      <c r="C16" s="10" t="n">
        <f aca="false">C14+C15</f>
        <v>2309932.75</v>
      </c>
      <c r="D16" s="10" t="n">
        <f aca="false">D14+D15</f>
        <v>2688271.18</v>
      </c>
      <c r="E16" s="10" t="n">
        <f aca="false">E14+E15</f>
        <v>2639028.09</v>
      </c>
      <c r="F16" s="10" t="n">
        <f aca="false">F14+F15</f>
        <v>2835538.33</v>
      </c>
      <c r="G16" s="10" t="n">
        <f aca="false">G14+G15</f>
        <v>2668726.02</v>
      </c>
      <c r="H16" s="10" t="n">
        <f aca="false">H14+H15</f>
        <v>2978902.64</v>
      </c>
      <c r="I16" s="10" t="n">
        <f aca="false">I14+I15</f>
        <v>2912036.42</v>
      </c>
      <c r="J16" s="10" t="n">
        <f aca="false">J14+J15</f>
        <v>2490269.55</v>
      </c>
      <c r="K16" s="10" t="n">
        <f aca="false">K14+K15</f>
        <v>2691713.9</v>
      </c>
      <c r="L16" s="10" t="n">
        <f aca="false">L14+L15</f>
        <v>2631090.81</v>
      </c>
      <c r="M16" s="10" t="n">
        <f aca="false">M14+M15</f>
        <v>2788129.76</v>
      </c>
      <c r="N16" s="10" t="n">
        <f aca="false">N14+N15</f>
        <v>7556897.85</v>
      </c>
      <c r="O16" s="10" t="n">
        <f aca="false">O14+O15</f>
        <v>8143292.44</v>
      </c>
      <c r="P16" s="10" t="n">
        <f aca="false">P14+P15</f>
        <v>8381208.61</v>
      </c>
      <c r="Q16" s="10" t="n">
        <f aca="false">Q14+Q15</f>
        <v>8110934.47</v>
      </c>
      <c r="R16" s="10" t="n">
        <f aca="false">R14+R15</f>
        <v>32192333.37</v>
      </c>
      <c r="S16" s="10" t="n">
        <f aca="false">S14+S15</f>
        <v>28430651.82</v>
      </c>
      <c r="T16" s="11" t="n">
        <f aca="false">IF(S16=0,"",R16/S16-1)</f>
        <v>0.132310774083406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3119407.01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2641664.44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4233666.85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4307690.71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5151283.7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3127558.11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931725.69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3928095.93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3854468.94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896771.99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32192333.37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240335.44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232184.11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257387.11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248190.77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272444.59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263775.07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269201.25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281751.13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240335.44</v>
      </c>
      <c r="K12" s="16" t="n">
        <v>245000</v>
      </c>
      <c r="L12" s="7" t="n">
        <f aca="false">IF(K12="","",K12-J12)</f>
        <v>4664.56</v>
      </c>
      <c r="M12" s="8" t="n">
        <f aca="false">IF(K12="","",K12/J12-1)</f>
        <v>0.0194085399972639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256443.1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265311.55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266803.98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265578.91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227289.23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203905.78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222438.88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214066.03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230110.53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204562.27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205433.25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216074.01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215120.82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238271.16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237928.07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226464.41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347155.87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303859.01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350055.72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355295.68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381551.8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347223.39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370112.79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362058.09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325338.38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343803.24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356440.28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390772.6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312399.46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281595.6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362333.45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356921.7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376891.75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378275.27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516508.85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427274.35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310518.86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327674.08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306577.59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350719.75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430949.59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383310.31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438484.65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416409.53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454594.01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421443.45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444464.45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462061.08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403897.6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425684.45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416009.75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453974.83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257347.15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234138.23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265056.56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262039.19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279695.99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254919.15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278642.95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278428.66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244515.81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257847.21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250121.21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264806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70024.33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65363.47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80282.84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78691.41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81914.6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80680.83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95117.93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92412.44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75560.91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74362.39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67804.32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69510.22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296914.31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286294.25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338579.82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342033.7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347090.01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332147.99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367354.16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368327.3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307233.84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316289.17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306667.72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319163.66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327146.38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271492.7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316609.81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307133.63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349631.07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326325.44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363061.05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359674.68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296046.26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317470.65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297737.89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322139.38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49132.16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47789.29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57042.34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58246.45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61613.98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59373.16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69005.96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63974.68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55593.97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13" t="n">
        <f aca="false">'Targets 2027'!R5</f>
        <v>3119407.01</v>
      </c>
      <c r="H5" s="7" t="n">
        <f aca="false">G5-E5</f>
        <v>361651.2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13" t="n">
        <f aca="false">'Targets 2027'!R6</f>
        <v>2641664.44</v>
      </c>
      <c r="H6" s="7" t="n">
        <f aca="false">G6-E6</f>
        <v>277730.830000001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13" t="n">
        <f aca="false">'Targets 2027'!R7</f>
        <v>4233666.85</v>
      </c>
      <c r="H7" s="7" t="n">
        <f aca="false">G7-E7</f>
        <v>425903.09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3929309.57</v>
      </c>
      <c r="G8" s="13" t="n">
        <f aca="false">'Targets 2027'!R8</f>
        <v>4307690.71</v>
      </c>
      <c r="H8" s="7" t="n">
        <f aca="false">G8-E8</f>
        <v>173193.33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13" t="n">
        <f aca="false">'Targets 2027'!R9</f>
        <v>5151283.7</v>
      </c>
      <c r="H9" s="7" t="n">
        <f aca="false">G9-E9</f>
        <v>441405.5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13" t="n">
        <f aca="false">'Targets 2027'!R10</f>
        <v>3127558.11</v>
      </c>
      <c r="H10" s="7" t="n">
        <f aca="false">G10-E10</f>
        <v>85804.9099999997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880008.54</v>
      </c>
      <c r="G11" s="13" t="n">
        <f aca="false">'Targets 2027'!R11</f>
        <v>931725.69</v>
      </c>
      <c r="H11" s="7" t="n">
        <f aca="false">G11-E11</f>
        <v>-5046.27000000002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13" t="n">
        <f aca="false">'Targets 2027'!R12</f>
        <v>3928095.93</v>
      </c>
      <c r="H12" s="7" t="n">
        <f aca="false">G12-E12</f>
        <v>469572.37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3485293.26</v>
      </c>
      <c r="G13" s="13" t="n">
        <f aca="false">'Targets 2027'!R13</f>
        <v>3854468.94</v>
      </c>
      <c r="H13" s="7" t="n">
        <f aca="false">G13-E13</f>
        <v>247474.57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13" t="n">
        <f aca="false">'Targets 2027'!R15</f>
        <v>896771.99</v>
      </c>
      <c r="H14" s="7" t="n">
        <f aca="false">G14-E14</f>
        <v>29012.87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29580590.48</v>
      </c>
      <c r="G15" s="10" t="n">
        <f aca="false">SUM(G5:G14)</f>
        <v>32192333.37</v>
      </c>
      <c r="H15" s="10" t="n">
        <f aca="false">SUM(H5:H14)</f>
        <v>2506702.4</v>
      </c>
    </row>
    <row r="17" customFormat="false" ht="15" hidden="false" customHeight="false" outlineLevel="0" collapsed="false">
      <c r="A17" s="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2026-10-15T16:20:07Z</dcterms:created>
  <dc:creator>openpyxl</dc:creator>
  <dc:description/>
  <dc:language>en-US</dc:language>
  <cp:lastModifiedBy/>
  <dcterms:modified xsi:type="dcterms:W3CDTF">2026-10-15T16:20:07Z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