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<sst xmlns="http://schemas.openxmlformats.org/spreadsheetml/2006/main" count="343" uniqueCount="68">
  <si>
    <t xml:space="preserve">Parakeet Café · 2027 sales targets by store</t>
  </si>
  <si>
    <t xml:space="preserve">Net sales targets per month: each store's 2027 objective in the October 15 budget, spread over the months along our most accurate forecast (the blend of three forecasting models): see 'Reference'. La Jolla Cove gets the budget's remodeled $125K a month from its Oct 1, 2027 reopening.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</si>
  <si>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</si>
  <si>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</si>
  <si>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</si>
  <si>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</si>
  <si>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</si>
  <si>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</si>
  <si>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</si>
  <si>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</si>
  <si>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</si>
  <si>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</si>
  <si>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</si>
  <si>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</si>
  <si>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</si>
  <si>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</si>
  <si>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</si>
  <si>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</si>
  <si>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</si>
  <si>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</si>
  <si>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</si>
  <si>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</si>
  <si>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</si>
  <si>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</si>
  <si>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</si>
  <si>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</si>
  <si>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</si>
  <si>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</si>
  <si>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</si>
  <si>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</si>
  <si>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</si>
  <si>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</si>
  <si>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</si>
  <si>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</si>
  <si>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</si>
  <si>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</si>
  <si>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</si>
  <si>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</si>
  <si>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</si>
  <si>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</si>
  <si>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</si>
  <si>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</si>
  <si>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</si>
  <si>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</si>
  <si>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</si>
  <si>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</si>
  <si>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</si>
  <si>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</si>
  <si>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</si>
  <si>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</si>
  <si>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</si>
  <si>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</si>
  <si>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</si>
  <si>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</si>
  <si>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the October 15 budget ('2027 Sales Objectives by Café'); run-rate = last 45 days seasonally adjusted; forecast = the blend of our three models. Notes below.</t>
  </si>
  <si>
    <t xml:space="preserve">2025 actual (Toast)</t>
  </si>
  <si>
    <t xml:space="preserve">2026 finish: budget</t>
  </si>
  <si>
    <t xml:space="preserve">2026 finish: run-rate</t>
  </si>
  <si>
    <t xml:space="preserve">2027: investor budget</t>
  </si>
  <si>
    <t xml:space="preserve">2027: run-rate objective</t>
  </si>
  <si>
    <t xml:space="preserve">2027: our forecast</t>
  </si>
  <si>
    <t xml:space="preserve">2027: target (Oct 15 budget)</t>
  </si>
  <si>
    <t xml:space="preserve">Target vs forecast</t>
  </si>
  <si>
    <t xml:space="preserve">Target vs 2026 finish</t>
  </si>
  <si>
    <t xml:space="preserve">Target = each store's 2027 objective in the October 15 budget, spread over the months along our most accurate forecast: 'Target vs forecast' is the one percentage applied to the forecast, the same every month. La Jolla Café and La Jolla Juicery share their line in that budget ($4,111,305) in proportion to the forecast.</t>
  </si>
  <si>
    <t xml:space="preserve">La Jolla Cove: the run-rate objective and the target include the budget's remodeled $125K a month from Oct 1, 2027; its target's January–September follows the forecast. New cafés are not included.</t>
  </si>
  <si>
    <t xml:space="preserve">2027: investor budget = the budget reviewed in Part 1 of the deck (2027_Sales_budget_Investors.xlsx).</t>
  </si>
  <si>
    <t xml:space="preserve">Management adjustment (October 2026): run-rate 2027 set to Coronado +1.2%, La Jolla Juicery +1.5% and Newport Beach +1.9% on 2026 (the last 45 days alone: −1.5%, −1.2% and +0.6%).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</si>
</sst>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236300.58</v>
      </c>
      <c r="C5" s="6" t="n">
        <v>228286.1</v>
      </c>
      <c r="D5" s="6" t="n">
        <v>253065.97</v>
      </c>
      <c r="E5" s="6" t="n">
        <v>244024.03</v>
      </c>
      <c r="F5" s="6" t="n">
        <v>267870.67</v>
      </c>
      <c r="G5" s="6" t="n">
        <v>259346.7</v>
      </c>
      <c r="H5" s="6" t="n">
        <v>264681.78</v>
      </c>
      <c r="I5" s="6" t="n">
        <v>277020.97</v>
      </c>
      <c r="J5" s="6" t="n">
        <v>252137.81</v>
      </c>
      <c r="K5" s="6" t="n">
        <v>260857.38</v>
      </c>
      <c r="L5" s="6" t="n">
        <v>262324.76</v>
      </c>
      <c r="M5" s="6" t="n">
        <v>261120.25</v>
      </c>
      <c r="N5" s="7" t="n">
        <f aca="false">SUM(B5:D5)</f>
        <v>717652.65</v>
      </c>
      <c r="O5" s="7" t="n">
        <f aca="false">SUM(E5:G5)</f>
        <v>771241.4</v>
      </c>
      <c r="P5" s="7" t="n">
        <f aca="false">SUM(H5:J5)</f>
        <v>793840.56</v>
      </c>
      <c r="Q5" s="7" t="n">
        <f aca="false">SUM(K5:M5)</f>
        <v>784302.39</v>
      </c>
      <c r="R5" s="7" t="n">
        <f aca="false">SUM(B5:M5)</f>
        <v>3067037</v>
      </c>
      <c r="S5" s="6" t="n">
        <v>2606461.36</v>
      </c>
      <c r="T5" s="8" t="n">
        <f aca="false">IF(S5=0,"",R5/S5-1)</f>
        <v>0.176705339687061</v>
      </c>
    </row>
    <row r="6" customFormat="false" ht="15" hidden="false" customHeight="false" outlineLevel="0" collapsed="false">
      <c r="A6" s="5" t="s">
        <v>23</v>
      </c>
      <c r="B6" s="6" t="n">
        <v>235613.92</v>
      </c>
      <c r="C6" s="6" t="n">
        <v>211374.03</v>
      </c>
      <c r="D6" s="6" t="n">
        <v>230585.93</v>
      </c>
      <c r="E6" s="6" t="n">
        <v>221906.4</v>
      </c>
      <c r="F6" s="6" t="n">
        <v>238538.56</v>
      </c>
      <c r="G6" s="6" t="n">
        <v>212054.56</v>
      </c>
      <c r="H6" s="6" t="n">
        <v>212957.45</v>
      </c>
      <c r="I6" s="6" t="n">
        <v>223987.93</v>
      </c>
      <c r="J6" s="6" t="n">
        <v>222999.83</v>
      </c>
      <c r="K6" s="6" t="n">
        <v>246998.08</v>
      </c>
      <c r="L6" s="6" t="n">
        <v>246642.42</v>
      </c>
      <c r="M6" s="6" t="n">
        <v>234758.89</v>
      </c>
      <c r="N6" s="7" t="n">
        <f aca="false">SUM(B6:D6)</f>
        <v>677573.88</v>
      </c>
      <c r="O6" s="7" t="n">
        <f aca="false">SUM(E6:G6)</f>
        <v>672499.52</v>
      </c>
      <c r="P6" s="7" t="n">
        <f aca="false">SUM(H6:J6)</f>
        <v>659945.21</v>
      </c>
      <c r="Q6" s="7" t="n">
        <f aca="false">SUM(K6:M6)</f>
        <v>728399.39</v>
      </c>
      <c r="R6" s="7" t="n">
        <f aca="false">SUM(B6:M6)</f>
        <v>2738418</v>
      </c>
      <c r="S6" s="6" t="n">
        <v>2302939.27</v>
      </c>
      <c r="T6" s="8" t="n">
        <f aca="false">IF(S6=0,"",R6/S6-1)</f>
        <v>0.189096923081259</v>
      </c>
    </row>
    <row r="7" customFormat="false" ht="15" hidden="false" customHeight="false" outlineLevel="0" collapsed="false">
      <c r="A7" s="5" t="s">
        <v>24</v>
      </c>
      <c r="B7" s="6" t="n">
        <v>327389.23</v>
      </c>
      <c r="C7" s="6" t="n">
        <v>286557.65</v>
      </c>
      <c r="D7" s="6" t="n">
        <v>330123.97</v>
      </c>
      <c r="E7" s="6" t="n">
        <v>335065.58</v>
      </c>
      <c r="F7" s="6" t="n">
        <v>359826.7</v>
      </c>
      <c r="G7" s="6" t="n">
        <v>327452.91</v>
      </c>
      <c r="H7" s="6" t="n">
        <v>349039.01</v>
      </c>
      <c r="I7" s="6" t="n">
        <v>341442.95</v>
      </c>
      <c r="J7" s="6" t="n">
        <v>306814.01</v>
      </c>
      <c r="K7" s="6" t="n">
        <v>324227.5</v>
      </c>
      <c r="L7" s="6" t="n">
        <v>336145.01</v>
      </c>
      <c r="M7" s="6" t="n">
        <v>368522.48</v>
      </c>
      <c r="N7" s="7" t="n">
        <f aca="false">SUM(B7:D7)</f>
        <v>944070.85</v>
      </c>
      <c r="O7" s="7" t="n">
        <f aca="false">SUM(E7:G7)</f>
        <v>1022345.19</v>
      </c>
      <c r="P7" s="7" t="n">
        <f aca="false">SUM(H7:J7)</f>
        <v>997295.97</v>
      </c>
      <c r="Q7" s="7" t="n">
        <f aca="false">SUM(K7:M7)</f>
        <v>1028894.99</v>
      </c>
      <c r="R7" s="7" t="n">
        <f aca="false">SUM(B7:M7)</f>
        <v>3992607</v>
      </c>
      <c r="S7" s="6" t="n">
        <v>3723643.18</v>
      </c>
      <c r="T7" s="8" t="n">
        <f aca="false">IF(S7=0,"",R7/S7-1)</f>
        <v>0.0722313624046007</v>
      </c>
    </row>
    <row r="8" customFormat="false" ht="15" hidden="false" customHeight="false" outlineLevel="0" collapsed="false">
      <c r="A8" s="5" t="s">
        <v>25</v>
      </c>
      <c r="B8" s="6" t="n">
        <v>314394.55</v>
      </c>
      <c r="C8" s="6" t="n">
        <v>283393.96</v>
      </c>
      <c r="D8" s="6" t="n">
        <v>364647.42</v>
      </c>
      <c r="E8" s="6" t="n">
        <v>359201.12</v>
      </c>
      <c r="F8" s="6" t="n">
        <v>379298.7</v>
      </c>
      <c r="G8" s="6" t="n">
        <v>380691.06</v>
      </c>
      <c r="H8" s="6" t="n">
        <v>519807.44</v>
      </c>
      <c r="I8" s="6" t="n">
        <v>430003.06</v>
      </c>
      <c r="J8" s="6" t="n">
        <v>312501.93</v>
      </c>
      <c r="K8" s="6" t="n">
        <v>329766.71</v>
      </c>
      <c r="L8" s="6" t="n">
        <v>308535.49</v>
      </c>
      <c r="M8" s="6" t="n">
        <v>352959.56</v>
      </c>
      <c r="N8" s="7" t="n">
        <f aca="false">SUM(B8:D8)</f>
        <v>962435.93</v>
      </c>
      <c r="O8" s="7" t="n">
        <f aca="false">SUM(E8:G8)</f>
        <v>1119190.88</v>
      </c>
      <c r="P8" s="7" t="n">
        <f aca="false">SUM(H8:J8)</f>
        <v>1262312.43</v>
      </c>
      <c r="Q8" s="7" t="n">
        <f aca="false">SUM(K8:M8)</f>
        <v>991261.76</v>
      </c>
      <c r="R8" s="7" t="n">
        <f aca="false">SUM(B8:M8)</f>
        <v>4335201</v>
      </c>
      <c r="S8" s="6" t="n">
        <v>3987463.81</v>
      </c>
      <c r="T8" s="8" t="n">
        <f aca="false">IF(S8=0,"",R8/S8-1)</f>
        <v>0.0872076102930197</v>
      </c>
    </row>
    <row r="9" customFormat="false" ht="15" hidden="false" customHeight="false" outlineLevel="0" collapsed="false">
      <c r="A9" s="5" t="s">
        <v>26</v>
      </c>
      <c r="B9" s="6" t="n">
        <v>411577.61</v>
      </c>
      <c r="C9" s="6" t="n">
        <v>366079.8</v>
      </c>
      <c r="D9" s="6" t="n">
        <v>418773.95</v>
      </c>
      <c r="E9" s="6" t="n">
        <v>397691.16</v>
      </c>
      <c r="F9" s="6" t="n">
        <v>434159.18</v>
      </c>
      <c r="G9" s="6" t="n">
        <v>402498.79</v>
      </c>
      <c r="H9" s="6" t="n">
        <v>424484.95</v>
      </c>
      <c r="I9" s="6" t="n">
        <v>441290.59</v>
      </c>
      <c r="J9" s="6" t="n">
        <v>385741.66</v>
      </c>
      <c r="K9" s="6" t="n">
        <v>406549.15</v>
      </c>
      <c r="L9" s="6" t="n">
        <v>397309.34</v>
      </c>
      <c r="M9" s="6" t="n">
        <v>433567.82</v>
      </c>
      <c r="N9" s="7" t="n">
        <f aca="false">SUM(B9:D9)</f>
        <v>1196431.36</v>
      </c>
      <c r="O9" s="7" t="n">
        <f aca="false">SUM(E9:G9)</f>
        <v>1234349.13</v>
      </c>
      <c r="P9" s="7" t="n">
        <f aca="false">SUM(H9:J9)</f>
        <v>1251517.2</v>
      </c>
      <c r="Q9" s="7" t="n">
        <f aca="false">SUM(K9:M9)</f>
        <v>1237426.31</v>
      </c>
      <c r="R9" s="7" t="n">
        <f aca="false">SUM(B9:M9)</f>
        <v>4919724</v>
      </c>
      <c r="S9" s="6" t="n">
        <v>4665803.06</v>
      </c>
      <c r="T9" s="8" t="n">
        <f aca="false">IF(S9=0,"",R9/S9-1)</f>
        <v>0.0544217012022794</v>
      </c>
    </row>
    <row r="10" customFormat="false" ht="15" hidden="false" customHeight="false" outlineLevel="0" collapsed="false">
      <c r="A10" s="5" t="s">
        <v>27</v>
      </c>
      <c r="B10" s="6" t="n">
        <v>260645.15</v>
      </c>
      <c r="C10" s="6" t="n">
        <v>237138.8</v>
      </c>
      <c r="D10" s="6" t="n">
        <v>268453.36</v>
      </c>
      <c r="E10" s="6" t="n">
        <v>265397.31</v>
      </c>
      <c r="F10" s="6" t="n">
        <v>283280.4</v>
      </c>
      <c r="G10" s="6" t="n">
        <v>258186.03</v>
      </c>
      <c r="H10" s="6" t="n">
        <v>282213.86</v>
      </c>
      <c r="I10" s="6" t="n">
        <v>281996.82</v>
      </c>
      <c r="J10" s="6" t="n">
        <v>247649.37</v>
      </c>
      <c r="K10" s="6" t="n">
        <v>261151.62</v>
      </c>
      <c r="L10" s="6" t="n">
        <v>253326.6</v>
      </c>
      <c r="M10" s="6" t="n">
        <v>268199.59</v>
      </c>
      <c r="N10" s="7" t="n">
        <f aca="false">SUM(B10:D10)</f>
        <v>766237.31</v>
      </c>
      <c r="O10" s="7" t="n">
        <f aca="false">SUM(E10:G10)</f>
        <v>806863.74</v>
      </c>
      <c r="P10" s="7" t="n">
        <f aca="false">SUM(H10:J10)</f>
        <v>811860.05</v>
      </c>
      <c r="Q10" s="7" t="n">
        <f aca="false">SUM(K10:M10)</f>
        <v>782677.81</v>
      </c>
      <c r="R10" s="7" t="n">
        <f aca="false">SUM(B10:M10)</f>
        <v>3167638.91</v>
      </c>
      <c r="S10" s="6" t="n">
        <v>2904088.3</v>
      </c>
      <c r="T10" s="8" t="n">
        <f aca="false">IF(S10=0,"",R10/S10-1)</f>
        <v>0.0907515828633723</v>
      </c>
    </row>
    <row r="11" customFormat="false" ht="15" hidden="false" customHeight="false" outlineLevel="0" collapsed="false">
      <c r="A11" s="5" t="s">
        <v>28</v>
      </c>
      <c r="B11" s="6" t="n">
        <v>70921.72</v>
      </c>
      <c r="C11" s="6" t="n">
        <v>66201.12</v>
      </c>
      <c r="D11" s="6" t="n">
        <v>81311.69</v>
      </c>
      <c r="E11" s="6" t="n">
        <v>79699.87</v>
      </c>
      <c r="F11" s="6" t="n">
        <v>82964.37</v>
      </c>
      <c r="G11" s="6" t="n">
        <v>81714.78</v>
      </c>
      <c r="H11" s="6" t="n">
        <v>96336.9</v>
      </c>
      <c r="I11" s="6" t="n">
        <v>93596.74</v>
      </c>
      <c r="J11" s="6" t="n">
        <v>76529.25</v>
      </c>
      <c r="K11" s="6" t="n">
        <v>75315.37</v>
      </c>
      <c r="L11" s="6" t="n">
        <v>68673.26</v>
      </c>
      <c r="M11" s="6" t="n">
        <v>70401.02</v>
      </c>
      <c r="N11" s="7" t="n">
        <f aca="false">SUM(B11:D11)</f>
        <v>218434.53</v>
      </c>
      <c r="O11" s="7" t="n">
        <f aca="false">SUM(E11:G11)</f>
        <v>244379.02</v>
      </c>
      <c r="P11" s="7" t="n">
        <f aca="false">SUM(H11:J11)</f>
        <v>266462.89</v>
      </c>
      <c r="Q11" s="7" t="n">
        <f aca="false">SUM(K11:M11)</f>
        <v>214389.65</v>
      </c>
      <c r="R11" s="7" t="n">
        <f aca="false">SUM(B11:M11)</f>
        <v>943666.09</v>
      </c>
      <c r="S11" s="6" t="n">
        <v>891089.16</v>
      </c>
      <c r="T11" s="8" t="n">
        <f aca="false">IF(S11=0,"",R11/S11-1)</f>
        <v>0.0590029958393836</v>
      </c>
    </row>
    <row r="12" customFormat="false" ht="15" hidden="false" customHeight="false" outlineLevel="0" collapsed="false">
      <c r="A12" s="5" t="s">
        <v>29</v>
      </c>
      <c r="B12" s="6" t="n">
        <v>281338.41</v>
      </c>
      <c r="C12" s="6" t="n">
        <v>271275.47</v>
      </c>
      <c r="D12" s="6" t="n">
        <v>320818.18</v>
      </c>
      <c r="E12" s="6" t="n">
        <v>324090.87</v>
      </c>
      <c r="F12" s="6" t="n">
        <v>328881.93</v>
      </c>
      <c r="G12" s="6" t="n">
        <v>314723.76</v>
      </c>
      <c r="H12" s="6" t="n">
        <v>348083.04</v>
      </c>
      <c r="I12" s="6" t="n">
        <v>349005.13</v>
      </c>
      <c r="J12" s="6" t="n">
        <v>291116.59</v>
      </c>
      <c r="K12" s="6" t="n">
        <v>299696.88</v>
      </c>
      <c r="L12" s="6" t="n">
        <v>290580.16</v>
      </c>
      <c r="M12" s="6" t="n">
        <v>302420.58</v>
      </c>
      <c r="N12" s="7" t="n">
        <f aca="false">SUM(B12:D12)</f>
        <v>873432.06</v>
      </c>
      <c r="O12" s="7" t="n">
        <f aca="false">SUM(E12:G12)</f>
        <v>967696.56</v>
      </c>
      <c r="P12" s="7" t="n">
        <f aca="false">SUM(H12:J12)</f>
        <v>988204.76</v>
      </c>
      <c r="Q12" s="7" t="n">
        <f aca="false">SUM(K12:M12)</f>
        <v>892697.62</v>
      </c>
      <c r="R12" s="7" t="n">
        <f aca="false">SUM(B12:M12)</f>
        <v>3722031</v>
      </c>
      <c r="S12" s="6" t="n">
        <v>3248637.47</v>
      </c>
      <c r="T12" s="8" t="n">
        <f aca="false">IF(S12=0,"",R12/S12-1)</f>
        <v>0.145720639613259</v>
      </c>
    </row>
    <row r="13" customFormat="false" ht="15" hidden="false" customHeight="false" outlineLevel="0" collapsed="false">
      <c r="A13" s="5" t="s">
        <v>30</v>
      </c>
      <c r="B13" s="6" t="n">
        <v>320860.49</v>
      </c>
      <c r="C13" s="6" t="n">
        <v>266276.15</v>
      </c>
      <c r="D13" s="6" t="n">
        <v>310526.38</v>
      </c>
      <c r="E13" s="6" t="n">
        <v>301232.27</v>
      </c>
      <c r="F13" s="6" t="n">
        <v>342913.15</v>
      </c>
      <c r="G13" s="6" t="n">
        <v>320055.32</v>
      </c>
      <c r="H13" s="6" t="n">
        <v>356085.09</v>
      </c>
      <c r="I13" s="6" t="n">
        <v>352763.78</v>
      </c>
      <c r="J13" s="6" t="n">
        <v>290357.94</v>
      </c>
      <c r="K13" s="6" t="n">
        <v>311370.68</v>
      </c>
      <c r="L13" s="6" t="n">
        <v>292017.06</v>
      </c>
      <c r="M13" s="6" t="n">
        <v>315949.69</v>
      </c>
      <c r="N13" s="7" t="n">
        <f aca="false">SUM(B13:D13)</f>
        <v>897663.02</v>
      </c>
      <c r="O13" s="7" t="n">
        <f aca="false">SUM(E13:G13)</f>
        <v>964200.74</v>
      </c>
      <c r="P13" s="7" t="n">
        <f aca="false">SUM(H13:J13)</f>
        <v>999206.81</v>
      </c>
      <c r="Q13" s="7" t="n">
        <f aca="false">SUM(K13:M13)</f>
        <v>919337.43</v>
      </c>
      <c r="R13" s="7" t="n">
        <f aca="false">SUM(B13:M13)</f>
        <v>3780408</v>
      </c>
      <c r="S13" s="6" t="n">
        <v>3464416.6</v>
      </c>
      <c r="T13" s="8" t="n">
        <f aca="false">IF(S13=0,"",R13/S13-1)</f>
        <v>0.0912105663042948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2459041.66</v>
      </c>
      <c r="C14" s="10" t="n">
        <f aca="false">SUM(C5:C13)</f>
        <v>2216583.08</v>
      </c>
      <c r="D14" s="10" t="n">
        <f aca="false">SUM(D5:D13)</f>
        <v>2578306.85</v>
      </c>
      <c r="E14" s="10" t="n">
        <f aca="false">SUM(E5:E13)</f>
        <v>2528308.61</v>
      </c>
      <c r="F14" s="10" t="n">
        <f aca="false">SUM(F5:F13)</f>
        <v>2717733.66</v>
      </c>
      <c r="G14" s="10" t="n">
        <f aca="false">SUM(G5:G13)</f>
        <v>2556723.91</v>
      </c>
      <c r="H14" s="10" t="n">
        <f aca="false">SUM(H5:H13)</f>
        <v>2853689.52</v>
      </c>
      <c r="I14" s="10" t="n">
        <f aca="false">SUM(I5:I13)</f>
        <v>2791107.97</v>
      </c>
      <c r="J14" s="10" t="n">
        <f aca="false">SUM(J5:J13)</f>
        <v>2385848.39</v>
      </c>
      <c r="K14" s="10" t="n">
        <f aca="false">SUM(K5:K13)</f>
        <v>2515933.37</v>
      </c>
      <c r="L14" s="10" t="n">
        <f aca="false">SUM(L5:L13)</f>
        <v>2455554.1</v>
      </c>
      <c r="M14" s="10" t="n">
        <f aca="false">SUM(M5:M13)</f>
        <v>2607899.88</v>
      </c>
      <c r="N14" s="10" t="n">
        <f aca="false">SUM(N5:N13)</f>
        <v>7253931.59</v>
      </c>
      <c r="O14" s="10" t="n">
        <f aca="false">SUM(O5:O13)</f>
        <v>7802766.18</v>
      </c>
      <c r="P14" s="10" t="n">
        <f aca="false">SUM(P5:P13)</f>
        <v>8030645.88</v>
      </c>
      <c r="Q14" s="10" t="n">
        <f aca="false">SUM(Q5:Q13)</f>
        <v>7579387.35</v>
      </c>
      <c r="R14" s="10" t="n">
        <f aca="false">SUM(R5:R13)</f>
        <v>30666731</v>
      </c>
      <c r="S14" s="10" t="n">
        <f aca="false">SUM(S5:S13)</f>
        <v>27794542.21</v>
      </c>
      <c r="T14" s="11" t="n">
        <f aca="false">IF(S14=0,"",R14/S14-1)</f>
        <v>0.103336430882702</v>
      </c>
    </row>
    <row r="15" customFormat="false" ht="15" hidden="false" customHeight="false" outlineLevel="0" collapsed="false">
      <c r="A15" s="5" t="s">
        <v>32</v>
      </c>
      <c r="B15" s="6" t="n">
        <v>46400.18</v>
      </c>
      <c r="C15" s="6" t="n">
        <v>45131.98</v>
      </c>
      <c r="D15" s="6" t="n">
        <v>53870.52</v>
      </c>
      <c r="E15" s="6" t="n">
        <v>55007.67</v>
      </c>
      <c r="F15" s="6" t="n">
        <v>58187.95</v>
      </c>
      <c r="G15" s="6" t="n">
        <v>56071.73</v>
      </c>
      <c r="H15" s="6" t="n">
        <v>65168.9</v>
      </c>
      <c r="I15" s="6" t="n">
        <v>60417.39</v>
      </c>
      <c r="J15" s="6" t="n">
        <v>52502.68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145402.68</v>
      </c>
      <c r="O15" s="7" t="n">
        <f aca="false">SUM(E15:G15)</f>
        <v>169267.35</v>
      </c>
      <c r="P15" s="7" t="n">
        <f aca="false">SUM(H15:J15)</f>
        <v>178088.97</v>
      </c>
      <c r="Q15" s="7" t="n">
        <f aca="false">SUM(K15:M15)</f>
        <v>375000</v>
      </c>
      <c r="R15" s="7" t="n">
        <f aca="false">SUM(B15:M15)</f>
        <v>867759</v>
      </c>
      <c r="S15" s="6" t="n">
        <v>636109.61</v>
      </c>
      <c r="T15" s="8" t="n">
        <f aca="false">IF(S15=0,"",R15/S15-1)</f>
        <v>0.364165839280435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2505441.84</v>
      </c>
      <c r="C16" s="10" t="n">
        <f aca="false">C14+C15</f>
        <v>2261715.06</v>
      </c>
      <c r="D16" s="10" t="n">
        <f aca="false">D14+D15</f>
        <v>2632177.37</v>
      </c>
      <c r="E16" s="10" t="n">
        <f aca="false">E14+E15</f>
        <v>2583316.28</v>
      </c>
      <c r="F16" s="10" t="n">
        <f aca="false">F14+F15</f>
        <v>2775921.61</v>
      </c>
      <c r="G16" s="10" t="n">
        <f aca="false">G14+G15</f>
        <v>2612795.64</v>
      </c>
      <c r="H16" s="10" t="n">
        <f aca="false">H14+H15</f>
        <v>2918858.42</v>
      </c>
      <c r="I16" s="10" t="n">
        <f aca="false">I14+I15</f>
        <v>2851525.36</v>
      </c>
      <c r="J16" s="10" t="n">
        <f aca="false">J14+J15</f>
        <v>2438351.07</v>
      </c>
      <c r="K16" s="10" t="n">
        <f aca="false">K14+K15</f>
        <v>2640933.37</v>
      </c>
      <c r="L16" s="10" t="n">
        <f aca="false">L14+L15</f>
        <v>2580554.1</v>
      </c>
      <c r="M16" s="10" t="n">
        <f aca="false">M14+M15</f>
        <v>2732899.88</v>
      </c>
      <c r="N16" s="10" t="n">
        <f aca="false">N14+N15</f>
        <v>7399334.27</v>
      </c>
      <c r="O16" s="10" t="n">
        <f aca="false">O14+O15</f>
        <v>7972033.53</v>
      </c>
      <c r="P16" s="10" t="n">
        <f aca="false">P14+P15</f>
        <v>8208734.85</v>
      </c>
      <c r="Q16" s="10" t="n">
        <f aca="false">Q14+Q15</f>
        <v>7954387.35</v>
      </c>
      <c r="R16" s="10" t="n">
        <f aca="false">R14+R15</f>
        <v>31534490</v>
      </c>
      <c r="S16" s="10" t="n">
        <f aca="false">S14+S15</f>
        <v>28430651.82</v>
      </c>
      <c r="T16" s="11" t="n">
        <f aca="false">IF(S16=0,"",R16/S16-1)</f>
        <v>0.109172248306195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3067037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2738418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3992607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4335201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4919724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3167638.91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943666.09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3722031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3780408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867759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31534490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236300.58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228286.1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253065.97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244024.03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267870.67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259346.7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264681.78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277020.97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236300.58</v>
      </c>
      <c r="K12" s="16" t="n">
        <v>241000</v>
      </c>
      <c r="L12" s="7" t="n">
        <f aca="false">IF(K12="","",K12-J12)</f>
        <v>4699.42000000001</v>
      </c>
      <c r="M12" s="8" t="n">
        <f aca="false">IF(K12="","",K12/J12-1)</f>
        <v>0.0198874670557305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252137.81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260857.38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262324.76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261120.25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235613.92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211374.03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230585.93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221906.4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238538.56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212054.56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212957.45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223987.93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222999.83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246998.08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246642.42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234758.89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327389.23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286557.65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330123.97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335065.58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359826.7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327452.91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349039.01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341442.95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306814.01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324227.5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336145.01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368522.48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314394.55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283393.96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364647.42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359201.12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379298.7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380691.06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519807.44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430003.06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312501.93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329766.71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308535.49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352959.56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411577.61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366079.8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418773.95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397691.16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434159.18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402498.79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424484.95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441290.59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385741.66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406549.15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397309.34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433567.82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260645.15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237138.8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268453.36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265397.31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283280.4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258186.03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282213.86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281996.82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247649.37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261151.62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253326.6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268199.59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70921.72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66201.12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81311.69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79699.87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82964.37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81714.78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96336.9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93596.74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76529.25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75315.37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68673.26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70401.02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281338.41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271275.47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320818.18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324090.87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328881.93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314723.76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348083.04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349005.13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291116.59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299696.88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290580.16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302420.58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320860.49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266276.15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310526.38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301232.27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342913.15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320055.32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356085.09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352763.78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290357.94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311370.68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292017.06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315949.69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46400.18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45131.98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53870.52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55007.67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58187.95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56071.73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65168.9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60417.39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52502.68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6" t="n">
        <v>3147736.63</v>
      </c>
      <c r="H5" s="13" t="n">
        <f aca="false">'Targets 2027'!R5</f>
        <v>3067037</v>
      </c>
      <c r="I5" s="8" t="n">
        <f aca="false">IF(G5=0,"",H5/G5-1)</f>
        <v>-0.0256373513688787</v>
      </c>
      <c r="J5" s="8" t="n">
        <f aca="false">IF(D5=0,"",H5/D5-1)</f>
        <v>0.176705339687061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6" t="n">
        <v>2665655.34</v>
      </c>
      <c r="H6" s="13" t="n">
        <f aca="false">'Targets 2027'!R6</f>
        <v>2738418</v>
      </c>
      <c r="I6" s="8" t="n">
        <f aca="false">IF(G6=0,"",H6/G6-1)</f>
        <v>0.0272963495723344</v>
      </c>
      <c r="J6" s="8" t="n">
        <f aca="false">IF(D6=0,"",H6/D6-1)</f>
        <v>0.189096923081259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6" t="n">
        <v>4272115.91</v>
      </c>
      <c r="H7" s="13" t="n">
        <f aca="false">'Targets 2027'!R7</f>
        <v>3992607</v>
      </c>
      <c r="I7" s="8" t="n">
        <f aca="false">IF(G7=0,"",H7/G7-1)</f>
        <v>-0.0654263404571344</v>
      </c>
      <c r="J7" s="8" t="n">
        <f aca="false">IF(D7=0,"",H7/D7-1)</f>
        <v>0.0722313624046007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4035313.38</v>
      </c>
      <c r="G8" s="6" t="n">
        <v>4346812.02</v>
      </c>
      <c r="H8" s="13" t="n">
        <f aca="false">'Targets 2027'!R8</f>
        <v>4335201</v>
      </c>
      <c r="I8" s="8" t="n">
        <f aca="false">IF(G8=0,"",H8/G8-1)</f>
        <v>-0.00267115760851322</v>
      </c>
      <c r="J8" s="8" t="n">
        <f aca="false">IF(D8=0,"",H8/D8-1)</f>
        <v>0.0872076102930197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6" t="n">
        <v>5198066.29</v>
      </c>
      <c r="H9" s="13" t="n">
        <f aca="false">'Targets 2027'!R9</f>
        <v>4919724</v>
      </c>
      <c r="I9" s="8" t="n">
        <f aca="false">IF(G9=0,"",H9/G9-1)</f>
        <v>-0.0535472759428776</v>
      </c>
      <c r="J9" s="8" t="n">
        <f aca="false">IF(D9=0,"",H9/D9-1)</f>
        <v>0.0544217012022794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6" t="n">
        <v>3155961.76</v>
      </c>
      <c r="H10" s="13" t="n">
        <f aca="false">'Targets 2027'!R10</f>
        <v>3167638.91</v>
      </c>
      <c r="I10" s="8" t="n">
        <f aca="false">IF(G10=0,"",H10/G10-1)</f>
        <v>0.00370002898894439</v>
      </c>
      <c r="J10" s="8" t="n">
        <f aca="false">IF(D10=0,"",H10/D10-1)</f>
        <v>0.0907515828633723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904455.5</v>
      </c>
      <c r="G11" s="6" t="n">
        <v>940187.37</v>
      </c>
      <c r="H11" s="13" t="n">
        <f aca="false">'Targets 2027'!R11</f>
        <v>943666.09</v>
      </c>
      <c r="I11" s="8" t="n">
        <f aca="false">IF(G11=0,"",H11/G11-1)</f>
        <v>0.00370002843156669</v>
      </c>
      <c r="J11" s="8" t="n">
        <f aca="false">IF(D11=0,"",H11/D11-1)</f>
        <v>0.0590029958393836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6" t="n">
        <v>3963769.87</v>
      </c>
      <c r="H12" s="13" t="n">
        <f aca="false">'Targets 2027'!R12</f>
        <v>3722031</v>
      </c>
      <c r="I12" s="8" t="n">
        <f aca="false">IF(G12=0,"",H12/G12-1)</f>
        <v>-0.0609871102330166</v>
      </c>
      <c r="J12" s="8" t="n">
        <f aca="false">IF(D12=0,"",H12/D12-1)</f>
        <v>0.145720639613259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3530240.52</v>
      </c>
      <c r="G13" s="6" t="n">
        <v>3889474.21</v>
      </c>
      <c r="H13" s="13" t="n">
        <f aca="false">'Targets 2027'!R13</f>
        <v>3780408</v>
      </c>
      <c r="I13" s="8" t="n">
        <f aca="false">IF(G13=0,"",H13/G13-1)</f>
        <v>-0.028041376317546</v>
      </c>
      <c r="J13" s="8" t="n">
        <f aca="false">IF(D13=0,"",H13/D13-1)</f>
        <v>0.0912105663042948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6" t="n">
        <v>683533.44</v>
      </c>
      <c r="H14" s="13" t="n">
        <f aca="false">'Targets 2027'!R15</f>
        <v>867759</v>
      </c>
      <c r="I14" s="8" t="n">
        <f aca="false">IF(G14=0,"",H14/G14-1)</f>
        <v>0.269519454673644</v>
      </c>
      <c r="J14" s="8" t="n">
        <f aca="false">IF(D14=0,"",H14/D14-1)</f>
        <v>0.364165839280435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29755988.51</v>
      </c>
      <c r="G15" s="10" t="n">
        <f aca="false">SUM(G5:G14)</f>
        <v>32263312.84</v>
      </c>
      <c r="H15" s="10" t="n">
        <f aca="false">SUM(H5:H14)</f>
        <v>31534490</v>
      </c>
      <c r="I15" s="11" t="n">
        <f aca="false">IF(G15=0,"",H15/G15-1)</f>
        <v>-0.0225898327184928</v>
      </c>
      <c r="J15" s="11" t="n">
        <f aca="false">IF(D15=0,"",H15/D15-1)</f>
        <v>0.109172248306195</v>
      </c>
    </row>
    <row r="17" customFormat="false" ht="15" hidden="false" customHeight="false" outlineLevel="0" collapsed="false">
      <c r="A17" s="2" t="s">
        <v>64</v>
      </c>
    </row>
    <row r="18" customFormat="false" ht="15" hidden="false" customHeight="false" outlineLevel="0" collapsed="false">
      <c r="A18" s="2" t="s">
        <v>65</v>
      </c>
    </row>
    <row r="19" customFormat="false" ht="15" hidden="false" customHeight="false" outlineLevel="0" collapsed="false">
      <c r="A19" s="2" t="s">
        <v>66</v>
      </c>
    </row>
    <row r="20" customFormat="false" ht="15" hidden="false" customHeight="false" outlineLevel="0" collapsed="false">
      <c r="A20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2026-10-19T18:06:12Z</dcterms:created>
  <dc:creator>openpyxl</dc:creator>
  <dc:description/>
  <dc:language>en-US</dc:language>
  <cp:lastModifiedBy/>
  <dcterms:modified xsi:type="dcterms:W3CDTF">2026-10-19T18:06:12Z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