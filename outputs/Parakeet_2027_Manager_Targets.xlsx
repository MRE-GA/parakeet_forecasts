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<sst xmlns="http://schemas.openxmlformats.org/spreadsheetml/2006/main" count="343" uniqueCount="68">
  <si>
    <t xml:space="preserve">Parakeet Café · 2027 sales targets by store</t>
  </si>
  <si>
    <t xml:space="preserve">Net sales targets per month: each store's 2027 growth in the budget (October 2026) on its 2026 finish, spread over the months by our forecasting model (the blend of three models); La Jolla Cove gets the budget's remodeled $125K a month from its Oct 1, 2027 reopening.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</si>
  <si>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</si>
  <si>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</si>
  <si>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</si>
  <si>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</si>
  <si>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</si>
  <si>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</si>
  <si>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</si>
  <si>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</si>
  <si>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</si>
  <si>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</si>
  <si>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</si>
  <si>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</si>
  <si>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</si>
  <si>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</si>
  <si>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</si>
  <si>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</si>
  <si>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</si>
  <si>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</si>
  <si>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</si>
  <si>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</si>
  <si>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</si>
  <si>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</si>
  <si>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</si>
  <si>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</si>
  <si>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</si>
  <si>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</si>
  <si>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</si>
  <si>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</si>
  <si>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</si>
  <si>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</si>
  <si>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</si>
  <si>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</si>
  <si>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</si>
  <si>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</si>
  <si>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</si>
  <si>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</si>
  <si>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</si>
  <si>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</si>
  <si>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</si>
  <si>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</si>
  <si>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</si>
  <si>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</si>
  <si>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</si>
  <si>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</si>
  <si>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</si>
  <si>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</si>
  <si>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</si>
  <si>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</si>
  <si>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</si>
  <si>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</si>
  <si>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</si>
  <si>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</si>
  <si>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budget: 2027 Sales Objectives by Café (2027 budget, October 2026); run-rate = last 45 days seasonally adjusted and held flat; target = the budget's 2027 growth on the run-rate's 2026 finish. Notes below.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</si>
  <si>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</si>
  <si>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</si>
  <si>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</si>
  <si>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</si>
  <si>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Budget growth</t>
  </si>
  <si>
    <t xml:space="preserve">2027: today's run-rate</t>
  </si>
  <si>
    <t xml:space="preserve">2027: target</t>
  </si>
  <si>
    <t xml:space="preserve">Target growth</t>
  </si>
  <si>
    <t xml:space="preserve">Target vs budget</t>
  </si>
  <si>
    <t xml:space="preserve">Target = the budget's 2027 growth for the store, applied to the run-rate's 2026 finish (Toast to Oct 14, then the run-rate), so 'Target growth' equals 'Budget growth'; 'Target vs budget' is the difference between the two 2026 finishes, grown. Months: our forecasting model's 2027 path (the blend of three models), scaled to the year, in cents.</t>
  </si>
  <si>
    <t xml:space="preserve">The budget gives years only: its months are its 2026 months grown by the store's rate, as in its workbook. La Jolla Café and La Jolla Juicery share one line in the budget (+7.5% for the two); both get that rate.</t>
  </si>
  <si>
    <t xml:space="preserve">La Jolla Cove: the run-rate and the target include the budget's remodeled $125K a month from Oct 1, 2027; the rest of its target falls in January–September. New cafés are not included.</t>
  </si>
  <si>
    <t xml:space="preserve">Management adjustment (October 2026): run-rate 2027 set to Coronado +1.2%, La Jolla Juicery +1.5% and Newport Beach +1.9% on 2026 (the last 45 days alone: −1.5%, −1.2% and +0.6%). It does not change the targets.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</si>
</sst>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238970.35</v>
      </c>
      <c r="C5" s="6" t="n">
        <v>230865.32</v>
      </c>
      <c r="D5" s="6" t="n">
        <v>255925.17</v>
      </c>
      <c r="E5" s="6" t="n">
        <v>246781.07</v>
      </c>
      <c r="F5" s="6" t="n">
        <v>270897.13</v>
      </c>
      <c r="G5" s="6" t="n">
        <v>262276.85</v>
      </c>
      <c r="H5" s="6" t="n">
        <v>267672.21</v>
      </c>
      <c r="I5" s="6" t="n">
        <v>280150.81</v>
      </c>
      <c r="J5" s="6" t="n">
        <v>254986.52</v>
      </c>
      <c r="K5" s="6" t="n">
        <v>263804.6</v>
      </c>
      <c r="L5" s="6" t="n">
        <v>265288.56</v>
      </c>
      <c r="M5" s="6" t="n">
        <v>264070.44</v>
      </c>
      <c r="N5" s="7" t="n">
        <f aca="false">SUM(B5:D5)</f>
        <v>725760.84</v>
      </c>
      <c r="O5" s="7" t="n">
        <f aca="false">SUM(E5:G5)</f>
        <v>779955.05</v>
      </c>
      <c r="P5" s="7" t="n">
        <f aca="false">SUM(H5:J5)</f>
        <v>802809.54</v>
      </c>
      <c r="Q5" s="7" t="n">
        <f aca="false">SUM(K5:M5)</f>
        <v>793163.6</v>
      </c>
      <c r="R5" s="7" t="n">
        <f aca="false">SUM(B5:M5)</f>
        <v>3101689.03</v>
      </c>
      <c r="S5" s="6" t="n">
        <v>2606461.36</v>
      </c>
      <c r="T5" s="8" t="n">
        <f aca="false">IF(S5=0,"",R5/S5-1)</f>
        <v>0.190000004450478</v>
      </c>
    </row>
    <row r="6" customFormat="false" ht="15" hidden="false" customHeight="false" outlineLevel="0" collapsed="false">
      <c r="A6" s="5" t="s">
        <v>23</v>
      </c>
      <c r="B6" s="6" t="n">
        <v>231829.97</v>
      </c>
      <c r="C6" s="6" t="n">
        <v>207979.37</v>
      </c>
      <c r="D6" s="6" t="n">
        <v>226882.73</v>
      </c>
      <c r="E6" s="6" t="n">
        <v>218342.6</v>
      </c>
      <c r="F6" s="6" t="n">
        <v>234707.65</v>
      </c>
      <c r="G6" s="6" t="n">
        <v>208648.98</v>
      </c>
      <c r="H6" s="6" t="n">
        <v>209537.36</v>
      </c>
      <c r="I6" s="6" t="n">
        <v>220390.7</v>
      </c>
      <c r="J6" s="6" t="n">
        <v>219418.47</v>
      </c>
      <c r="K6" s="6" t="n">
        <v>243031.31</v>
      </c>
      <c r="L6" s="6" t="n">
        <v>242681.36</v>
      </c>
      <c r="M6" s="6" t="n">
        <v>230988.68</v>
      </c>
      <c r="N6" s="7" t="n">
        <f aca="false">SUM(B6:D6)</f>
        <v>666692.07</v>
      </c>
      <c r="O6" s="7" t="n">
        <f aca="false">SUM(E6:G6)</f>
        <v>661699.23</v>
      </c>
      <c r="P6" s="7" t="n">
        <f aca="false">SUM(H6:J6)</f>
        <v>649346.53</v>
      </c>
      <c r="Q6" s="7" t="n">
        <f aca="false">SUM(K6:M6)</f>
        <v>716701.35</v>
      </c>
      <c r="R6" s="7" t="n">
        <f aca="false">SUM(B6:M6)</f>
        <v>2694439.18</v>
      </c>
      <c r="S6" s="6" t="n">
        <v>2302939.27</v>
      </c>
      <c r="T6" s="8" t="n">
        <f aca="false">IF(S6=0,"",R6/S6-1)</f>
        <v>0.170000101652702</v>
      </c>
    </row>
    <row r="7" customFormat="false" ht="15" hidden="false" customHeight="false" outlineLevel="0" collapsed="false">
      <c r="A7" s="5" t="s">
        <v>24</v>
      </c>
      <c r="B7" s="6" t="n">
        <v>329761.29</v>
      </c>
      <c r="C7" s="6" t="n">
        <v>288633.87</v>
      </c>
      <c r="D7" s="6" t="n">
        <v>332515.85</v>
      </c>
      <c r="E7" s="6" t="n">
        <v>337493.26</v>
      </c>
      <c r="F7" s="6" t="n">
        <v>362433.79</v>
      </c>
      <c r="G7" s="6" t="n">
        <v>329825.43</v>
      </c>
      <c r="H7" s="6" t="n">
        <v>351567.94</v>
      </c>
      <c r="I7" s="6" t="n">
        <v>343916.83</v>
      </c>
      <c r="J7" s="6" t="n">
        <v>309036.99</v>
      </c>
      <c r="K7" s="6" t="n">
        <v>326576.66</v>
      </c>
      <c r="L7" s="6" t="n">
        <v>338580.51</v>
      </c>
      <c r="M7" s="6" t="n">
        <v>371192.57</v>
      </c>
      <c r="N7" s="7" t="n">
        <f aca="false">SUM(B7:D7)</f>
        <v>950911.01</v>
      </c>
      <c r="O7" s="7" t="n">
        <f aca="false">SUM(E7:G7)</f>
        <v>1029752.48</v>
      </c>
      <c r="P7" s="7" t="n">
        <f aca="false">SUM(H7:J7)</f>
        <v>1004521.76</v>
      </c>
      <c r="Q7" s="7" t="n">
        <f aca="false">SUM(K7:M7)</f>
        <v>1036349.74</v>
      </c>
      <c r="R7" s="7" t="n">
        <f aca="false">SUM(B7:M7)</f>
        <v>4021534.99</v>
      </c>
      <c r="S7" s="6" t="n">
        <v>3723643.18</v>
      </c>
      <c r="T7" s="8" t="n">
        <f aca="false">IF(S7=0,"",R7/S7-1)</f>
        <v>0.0800000954978719</v>
      </c>
    </row>
    <row r="8" customFormat="false" ht="15" hidden="false" customHeight="false" outlineLevel="0" collapsed="false">
      <c r="A8" s="5" t="s">
        <v>25</v>
      </c>
      <c r="B8" s="6" t="n">
        <v>312310.28</v>
      </c>
      <c r="C8" s="6" t="n">
        <v>281515.21</v>
      </c>
      <c r="D8" s="6" t="n">
        <v>362230.01</v>
      </c>
      <c r="E8" s="6" t="n">
        <v>356819.81</v>
      </c>
      <c r="F8" s="6" t="n">
        <v>376784.15</v>
      </c>
      <c r="G8" s="6" t="n">
        <v>378167.28</v>
      </c>
      <c r="H8" s="6" t="n">
        <v>516361.39</v>
      </c>
      <c r="I8" s="6" t="n">
        <v>427152.36</v>
      </c>
      <c r="J8" s="6" t="n">
        <v>310430.21</v>
      </c>
      <c r="K8" s="6" t="n">
        <v>327580.53</v>
      </c>
      <c r="L8" s="6" t="n">
        <v>306490.06</v>
      </c>
      <c r="M8" s="6" t="n">
        <v>350619.63</v>
      </c>
      <c r="N8" s="7" t="n">
        <f aca="false">SUM(B8:D8)</f>
        <v>956055.5</v>
      </c>
      <c r="O8" s="7" t="n">
        <f aca="false">SUM(E8:G8)</f>
        <v>1111771.24</v>
      </c>
      <c r="P8" s="7" t="n">
        <f aca="false">SUM(H8:J8)</f>
        <v>1253943.96</v>
      </c>
      <c r="Q8" s="7" t="n">
        <f aca="false">SUM(K8:M8)</f>
        <v>984690.22</v>
      </c>
      <c r="R8" s="7" t="n">
        <f aca="false">SUM(B8:M8)</f>
        <v>4306460.92</v>
      </c>
      <c r="S8" s="6" t="n">
        <v>3987463.81</v>
      </c>
      <c r="T8" s="8" t="n">
        <f aca="false">IF(S8=0,"",R8/S8-1)</f>
        <v>0.0800000013040871</v>
      </c>
    </row>
    <row r="9" customFormat="false" ht="15" hidden="false" customHeight="false" outlineLevel="0" collapsed="false">
      <c r="A9" s="5" t="s">
        <v>26</v>
      </c>
      <c r="B9" s="6" t="n">
        <v>411803.3</v>
      </c>
      <c r="C9" s="6" t="n">
        <v>366280.54</v>
      </c>
      <c r="D9" s="6" t="n">
        <v>419003.58</v>
      </c>
      <c r="E9" s="6" t="n">
        <v>397909.23</v>
      </c>
      <c r="F9" s="6" t="n">
        <v>434397.24</v>
      </c>
      <c r="G9" s="6" t="n">
        <v>402719.5</v>
      </c>
      <c r="H9" s="6" t="n">
        <v>424717.72</v>
      </c>
      <c r="I9" s="6" t="n">
        <v>441532.56</v>
      </c>
      <c r="J9" s="6" t="n">
        <v>385953.17</v>
      </c>
      <c r="K9" s="6" t="n">
        <v>406772.08</v>
      </c>
      <c r="L9" s="6" t="n">
        <v>397527.21</v>
      </c>
      <c r="M9" s="6" t="n">
        <v>433805.57</v>
      </c>
      <c r="N9" s="7" t="n">
        <f aca="false">SUM(B9:D9)</f>
        <v>1197087.42</v>
      </c>
      <c r="O9" s="7" t="n">
        <f aca="false">SUM(E9:G9)</f>
        <v>1235025.97</v>
      </c>
      <c r="P9" s="7" t="n">
        <f aca="false">SUM(H9:J9)</f>
        <v>1252203.45</v>
      </c>
      <c r="Q9" s="7" t="n">
        <f aca="false">SUM(K9:M9)</f>
        <v>1238104.86</v>
      </c>
      <c r="R9" s="7" t="n">
        <f aca="false">SUM(B9:M9)</f>
        <v>4922421.7</v>
      </c>
      <c r="S9" s="6" t="n">
        <v>4665803.06</v>
      </c>
      <c r="T9" s="8" t="n">
        <f aca="false">IF(S9=0,"",R9/S9-1)</f>
        <v>0.0549998867719035</v>
      </c>
    </row>
    <row r="10" customFormat="false" ht="15" hidden="false" customHeight="false" outlineLevel="0" collapsed="false">
      <c r="A10" s="5" t="s">
        <v>27</v>
      </c>
      <c r="B10" s="6" t="n">
        <v>256811.65</v>
      </c>
      <c r="C10" s="6" t="n">
        <v>233651.03</v>
      </c>
      <c r="D10" s="6" t="n">
        <v>264505.01</v>
      </c>
      <c r="E10" s="6" t="n">
        <v>261493.92</v>
      </c>
      <c r="F10" s="6" t="n">
        <v>279113.99</v>
      </c>
      <c r="G10" s="6" t="n">
        <v>254388.7</v>
      </c>
      <c r="H10" s="6" t="n">
        <v>278063.13</v>
      </c>
      <c r="I10" s="6" t="n">
        <v>277849.28</v>
      </c>
      <c r="J10" s="6" t="n">
        <v>244007</v>
      </c>
      <c r="K10" s="6" t="n">
        <v>257310.67</v>
      </c>
      <c r="L10" s="6" t="n">
        <v>249600.74</v>
      </c>
      <c r="M10" s="6" t="n">
        <v>264254.98</v>
      </c>
      <c r="N10" s="7" t="n">
        <f aca="false">SUM(B10:D10)</f>
        <v>754967.69</v>
      </c>
      <c r="O10" s="7" t="n">
        <f aca="false">SUM(E10:G10)</f>
        <v>794996.61</v>
      </c>
      <c r="P10" s="7" t="n">
        <f aca="false">SUM(H10:J10)</f>
        <v>799919.41</v>
      </c>
      <c r="Q10" s="7" t="n">
        <f aca="false">SUM(K10:M10)</f>
        <v>771166.39</v>
      </c>
      <c r="R10" s="7" t="n">
        <f aca="false">SUM(B10:M10)</f>
        <v>3121050.1</v>
      </c>
      <c r="S10" s="6" t="n">
        <v>2904088.3</v>
      </c>
      <c r="T10" s="8" t="n">
        <f aca="false">IF(S10=0,"",R10/S10-1)</f>
        <v>0.0747090920066034</v>
      </c>
    </row>
    <row r="11" customFormat="false" ht="15" hidden="false" customHeight="false" outlineLevel="0" collapsed="false">
      <c r="A11" s="5" t="s">
        <v>28</v>
      </c>
      <c r="B11" s="6" t="n">
        <v>71973.56</v>
      </c>
      <c r="C11" s="6" t="n">
        <v>67182.95</v>
      </c>
      <c r="D11" s="6" t="n">
        <v>82517.62</v>
      </c>
      <c r="E11" s="6" t="n">
        <v>80881.9</v>
      </c>
      <c r="F11" s="6" t="n">
        <v>84194.81</v>
      </c>
      <c r="G11" s="6" t="n">
        <v>82926.7</v>
      </c>
      <c r="H11" s="6" t="n">
        <v>97765.68</v>
      </c>
      <c r="I11" s="6" t="n">
        <v>94984.87</v>
      </c>
      <c r="J11" s="6" t="n">
        <v>77664.26</v>
      </c>
      <c r="K11" s="6" t="n">
        <v>76432.38</v>
      </c>
      <c r="L11" s="6" t="n">
        <v>69691.75</v>
      </c>
      <c r="M11" s="6" t="n">
        <v>71445.14</v>
      </c>
      <c r="N11" s="7" t="n">
        <f aca="false">SUM(B11:D11)</f>
        <v>221674.13</v>
      </c>
      <c r="O11" s="7" t="n">
        <f aca="false">SUM(E11:G11)</f>
        <v>248003.41</v>
      </c>
      <c r="P11" s="7" t="n">
        <f aca="false">SUM(H11:J11)</f>
        <v>270414.81</v>
      </c>
      <c r="Q11" s="7" t="n">
        <f aca="false">SUM(K11:M11)</f>
        <v>217569.27</v>
      </c>
      <c r="R11" s="7" t="n">
        <f aca="false">SUM(B11:M11)</f>
        <v>957661.62</v>
      </c>
      <c r="S11" s="6" t="n">
        <v>891089.16</v>
      </c>
      <c r="T11" s="8" t="n">
        <f aca="false">IF(S11=0,"",R11/S11-1)</f>
        <v>0.0747090897166789</v>
      </c>
    </row>
    <row r="12" customFormat="false" ht="15" hidden="false" customHeight="false" outlineLevel="0" collapsed="false">
      <c r="A12" s="5" t="s">
        <v>29</v>
      </c>
      <c r="B12" s="6" t="n">
        <v>277478.17</v>
      </c>
      <c r="C12" s="6" t="n">
        <v>267553.31</v>
      </c>
      <c r="D12" s="6" t="n">
        <v>316416.25</v>
      </c>
      <c r="E12" s="6" t="n">
        <v>319644.04</v>
      </c>
      <c r="F12" s="6" t="n">
        <v>324369.35</v>
      </c>
      <c r="G12" s="6" t="n">
        <v>310405.44</v>
      </c>
      <c r="H12" s="6" t="n">
        <v>343307.01</v>
      </c>
      <c r="I12" s="6" t="n">
        <v>344216.45</v>
      </c>
      <c r="J12" s="6" t="n">
        <v>287122.19</v>
      </c>
      <c r="K12" s="6" t="n">
        <v>295584.76</v>
      </c>
      <c r="L12" s="6" t="n">
        <v>286593.12</v>
      </c>
      <c r="M12" s="6" t="n">
        <v>298271.08</v>
      </c>
      <c r="N12" s="7" t="n">
        <f aca="false">SUM(B12:D12)</f>
        <v>861447.73</v>
      </c>
      <c r="O12" s="7" t="n">
        <f aca="false">SUM(E12:G12)</f>
        <v>954418.83</v>
      </c>
      <c r="P12" s="7" t="n">
        <f aca="false">SUM(H12:J12)</f>
        <v>974645.65</v>
      </c>
      <c r="Q12" s="7" t="n">
        <f aca="false">SUM(K12:M12)</f>
        <v>880448.96</v>
      </c>
      <c r="R12" s="7" t="n">
        <f aca="false">SUM(B12:M12)</f>
        <v>3670961.17</v>
      </c>
      <c r="S12" s="6" t="n">
        <v>3248637.47</v>
      </c>
      <c r="T12" s="8" t="n">
        <f aca="false">IF(S12=0,"",R12/S12-1)</f>
        <v>0.130000255153124</v>
      </c>
    </row>
    <row r="13" customFormat="false" ht="15" hidden="false" customHeight="false" outlineLevel="0" collapsed="false">
      <c r="A13" s="5" t="s">
        <v>30</v>
      </c>
      <c r="B13" s="6" t="n">
        <v>320504.55</v>
      </c>
      <c r="C13" s="6" t="n">
        <v>265980.77</v>
      </c>
      <c r="D13" s="6" t="n">
        <v>310181.9</v>
      </c>
      <c r="E13" s="6" t="n">
        <v>300898.11</v>
      </c>
      <c r="F13" s="6" t="n">
        <v>342532.75</v>
      </c>
      <c r="G13" s="6" t="n">
        <v>319700.28</v>
      </c>
      <c r="H13" s="6" t="n">
        <v>355690.08</v>
      </c>
      <c r="I13" s="6" t="n">
        <v>352372.46</v>
      </c>
      <c r="J13" s="6" t="n">
        <v>290035.84</v>
      </c>
      <c r="K13" s="6" t="n">
        <v>311025.27</v>
      </c>
      <c r="L13" s="6" t="n">
        <v>291693.12</v>
      </c>
      <c r="M13" s="6" t="n">
        <v>315599.21</v>
      </c>
      <c r="N13" s="7" t="n">
        <f aca="false">SUM(B13:D13)</f>
        <v>896667.22</v>
      </c>
      <c r="O13" s="7" t="n">
        <f aca="false">SUM(E13:G13)</f>
        <v>963131.14</v>
      </c>
      <c r="P13" s="7" t="n">
        <f aca="false">SUM(H13:J13)</f>
        <v>998098.38</v>
      </c>
      <c r="Q13" s="7" t="n">
        <f aca="false">SUM(K13:M13)</f>
        <v>918317.6</v>
      </c>
      <c r="R13" s="7" t="n">
        <f aca="false">SUM(B13:M13)</f>
        <v>3776214.34</v>
      </c>
      <c r="S13" s="6" t="n">
        <v>3464416.6</v>
      </c>
      <c r="T13" s="8" t="n">
        <f aca="false">IF(S13=0,"",R13/S13-1)</f>
        <v>0.0900000710076265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2451443.12</v>
      </c>
      <c r="C14" s="10" t="n">
        <f aca="false">SUM(C5:C13)</f>
        <v>2209642.37</v>
      </c>
      <c r="D14" s="10" t="n">
        <f aca="false">SUM(D5:D13)</f>
        <v>2570178.12</v>
      </c>
      <c r="E14" s="10" t="n">
        <f aca="false">SUM(E5:E13)</f>
        <v>2520263.94</v>
      </c>
      <c r="F14" s="10" t="n">
        <f aca="false">SUM(F5:F13)</f>
        <v>2709430.86</v>
      </c>
      <c r="G14" s="10" t="n">
        <f aca="false">SUM(G5:G13)</f>
        <v>2549059.16</v>
      </c>
      <c r="H14" s="10" t="n">
        <f aca="false">SUM(H5:H13)</f>
        <v>2844682.52</v>
      </c>
      <c r="I14" s="10" t="n">
        <f aca="false">SUM(I5:I13)</f>
        <v>2782566.32</v>
      </c>
      <c r="J14" s="10" t="n">
        <f aca="false">SUM(J5:J13)</f>
        <v>2378654.65</v>
      </c>
      <c r="K14" s="10" t="n">
        <f aca="false">SUM(K5:K13)</f>
        <v>2508118.26</v>
      </c>
      <c r="L14" s="10" t="n">
        <f aca="false">SUM(L5:L13)</f>
        <v>2448146.43</v>
      </c>
      <c r="M14" s="10" t="n">
        <f aca="false">SUM(M5:M13)</f>
        <v>2600247.3</v>
      </c>
      <c r="N14" s="10" t="n">
        <f aca="false">SUM(N5:N13)</f>
        <v>7231263.61</v>
      </c>
      <c r="O14" s="10" t="n">
        <f aca="false">SUM(O5:O13)</f>
        <v>7778753.96</v>
      </c>
      <c r="P14" s="10" t="n">
        <f aca="false">SUM(P5:P13)</f>
        <v>8005903.49</v>
      </c>
      <c r="Q14" s="10" t="n">
        <f aca="false">SUM(Q5:Q13)</f>
        <v>7556511.99</v>
      </c>
      <c r="R14" s="10" t="n">
        <f aca="false">SUM(R5:R13)</f>
        <v>30572433.05</v>
      </c>
      <c r="S14" s="10" t="n">
        <f aca="false">SUM(S5:S13)</f>
        <v>27794542.21</v>
      </c>
      <c r="T14" s="11" t="n">
        <f aca="false">IF(S14=0,"",R14/S14-1)</f>
        <v>0.099943752230629</v>
      </c>
    </row>
    <row r="15" customFormat="false" ht="15" hidden="false" customHeight="false" outlineLevel="0" collapsed="false">
      <c r="A15" s="5" t="s">
        <v>32</v>
      </c>
      <c r="B15" s="6" t="n">
        <v>47431.77</v>
      </c>
      <c r="C15" s="6" t="n">
        <v>46135.37</v>
      </c>
      <c r="D15" s="6" t="n">
        <v>55068.19</v>
      </c>
      <c r="E15" s="6" t="n">
        <v>56230.63</v>
      </c>
      <c r="F15" s="6" t="n">
        <v>59481.61</v>
      </c>
      <c r="G15" s="6" t="n">
        <v>57318.35</v>
      </c>
      <c r="H15" s="6" t="n">
        <v>66617.77</v>
      </c>
      <c r="I15" s="6" t="n">
        <v>61760.61</v>
      </c>
      <c r="J15" s="6" t="n">
        <v>53669.95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148635.33</v>
      </c>
      <c r="O15" s="7" t="n">
        <f aca="false">SUM(E15:G15)</f>
        <v>173030.59</v>
      </c>
      <c r="P15" s="7" t="n">
        <f aca="false">SUM(H15:J15)</f>
        <v>182048.33</v>
      </c>
      <c r="Q15" s="7" t="n">
        <f aca="false">SUM(K15:M15)</f>
        <v>375000</v>
      </c>
      <c r="R15" s="7" t="n">
        <f aca="false">SUM(B15:M15)</f>
        <v>878714.25</v>
      </c>
      <c r="S15" s="6" t="n">
        <v>636109.61</v>
      </c>
      <c r="T15" s="8" t="n">
        <f aca="false">IF(S15=0,"",R15/S15-1)</f>
        <v>0.381388106996214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2498874.89</v>
      </c>
      <c r="C16" s="10" t="n">
        <f aca="false">C14+C15</f>
        <v>2255777.74</v>
      </c>
      <c r="D16" s="10" t="n">
        <f aca="false">D14+D15</f>
        <v>2625246.31</v>
      </c>
      <c r="E16" s="10" t="n">
        <f aca="false">E14+E15</f>
        <v>2576494.57</v>
      </c>
      <c r="F16" s="10" t="n">
        <f aca="false">F14+F15</f>
        <v>2768912.47</v>
      </c>
      <c r="G16" s="10" t="n">
        <f aca="false">G14+G15</f>
        <v>2606377.51</v>
      </c>
      <c r="H16" s="10" t="n">
        <f aca="false">H14+H15</f>
        <v>2911300.29</v>
      </c>
      <c r="I16" s="10" t="n">
        <f aca="false">I14+I15</f>
        <v>2844326.93</v>
      </c>
      <c r="J16" s="10" t="n">
        <f aca="false">J14+J15</f>
        <v>2432324.6</v>
      </c>
      <c r="K16" s="10" t="n">
        <f aca="false">K14+K15</f>
        <v>2633118.26</v>
      </c>
      <c r="L16" s="10" t="n">
        <f aca="false">L14+L15</f>
        <v>2573146.43</v>
      </c>
      <c r="M16" s="10" t="n">
        <f aca="false">M14+M15</f>
        <v>2725247.3</v>
      </c>
      <c r="N16" s="10" t="n">
        <f aca="false">N14+N15</f>
        <v>7379898.94</v>
      </c>
      <c r="O16" s="10" t="n">
        <f aca="false">O14+O15</f>
        <v>7951784.55</v>
      </c>
      <c r="P16" s="10" t="n">
        <f aca="false">P14+P15</f>
        <v>8187951.82</v>
      </c>
      <c r="Q16" s="10" t="n">
        <f aca="false">Q14+Q15</f>
        <v>7931511.99</v>
      </c>
      <c r="R16" s="10" t="n">
        <f aca="false">R14+R15</f>
        <v>31451147.3</v>
      </c>
      <c r="S16" s="10" t="n">
        <f aca="false">S14+S15</f>
        <v>28430651.82</v>
      </c>
      <c r="T16" s="11" t="n">
        <f aca="false">IF(S16=0,"",R16/S16-1)</f>
        <v>0.106240810063847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3101689.03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2694439.18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4021534.99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4306460.92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4922421.7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3121050.1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957661.62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3670961.17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3776214.34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878714.25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31451147.3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238970.35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230865.32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255925.17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246781.07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270897.13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262276.85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267672.21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280150.81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238970.35</v>
      </c>
      <c r="K12" s="16" t="n">
        <v>244000</v>
      </c>
      <c r="L12" s="7" t="n">
        <f aca="false">IF(K12="","",K12-J12)</f>
        <v>5029.64999999999</v>
      </c>
      <c r="M12" s="8" t="n">
        <f aca="false">IF(K12="","",K12/J12-1)</f>
        <v>0.0210471717516421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254986.52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263804.6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265288.56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264070.44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231829.97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207979.37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226882.73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218342.6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234707.65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208648.98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209537.36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220390.7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219418.47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243031.31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242681.36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230988.68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329761.29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288633.87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332515.85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337493.26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362433.79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329825.43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351567.94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343916.83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309036.99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326576.66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338580.51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371192.57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312310.28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281515.21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362230.01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356819.81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376784.15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378167.28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516361.39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427152.36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310430.21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327580.53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306490.06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350619.63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411803.3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366280.54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419003.58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397909.23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434397.24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402719.5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424717.72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441532.56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385953.17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406772.08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397527.21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433805.57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256811.65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233651.03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264505.01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261493.92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279113.99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254388.7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278063.13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277849.28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244007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257310.67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249600.74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264254.98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71973.56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67182.95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82517.62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80881.9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84194.81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82926.7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97765.68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94984.87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77664.26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76432.38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69691.75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71445.14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277478.17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267553.31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316416.25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319644.04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324369.35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310405.44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343307.01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344216.45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287122.19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295584.76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286593.12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298271.08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320504.55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265980.77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310181.9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300898.11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342532.75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319700.28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355690.08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352372.46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290035.84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311025.27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291693.12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315599.21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47431.77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46135.37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55068.19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56230.63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59481.61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57318.35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66617.77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61760.61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53669.95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0" min="2" style="0" width="14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  <c r="I4" s="4" t="s">
        <v>62</v>
      </c>
      <c r="J4" s="4" t="s">
        <v>63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3067036.86</v>
      </c>
      <c r="F5" s="8" t="n">
        <f aca="false">IF(C5=0,"",E5/C5-1)</f>
        <v>0.190000008846323</v>
      </c>
      <c r="G5" s="6" t="n">
        <v>2897107.25</v>
      </c>
      <c r="H5" s="13" t="n">
        <f aca="false">'Targets 2027'!R5</f>
        <v>3101689.03</v>
      </c>
      <c r="I5" s="8" t="n">
        <f aca="false">IF(D5=0,"",H5/D5-1)</f>
        <v>0.190000004450478</v>
      </c>
      <c r="J5" s="7" t="n">
        <f aca="false">H5-E5</f>
        <v>34652.1699999999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2738418.39</v>
      </c>
      <c r="F6" s="8" t="n">
        <f aca="false">IF(C6=0,"",E6/C6-1)</f>
        <v>0.170000104207241</v>
      </c>
      <c r="G6" s="6" t="n">
        <v>2345912.69</v>
      </c>
      <c r="H6" s="13" t="n">
        <f aca="false">'Targets 2027'!R6</f>
        <v>2694439.18</v>
      </c>
      <c r="I6" s="8" t="n">
        <f aca="false">IF(D6=0,"",H6/D6-1)</f>
        <v>0.170000101652702</v>
      </c>
      <c r="J6" s="7" t="n">
        <f aca="false">H6-E6</f>
        <v>-43979.21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3992607.02</v>
      </c>
      <c r="F7" s="8" t="n">
        <f aca="false">IF(C7=0,"",E7/C7-1)</f>
        <v>0.0800000969471908</v>
      </c>
      <c r="G7" s="6" t="n">
        <v>3868254.76</v>
      </c>
      <c r="H7" s="13" t="n">
        <f aca="false">'Targets 2027'!R7</f>
        <v>4021534.99</v>
      </c>
      <c r="I7" s="8" t="n">
        <f aca="false">IF(D7=0,"",H7/D7-1)</f>
        <v>0.0800000954978719</v>
      </c>
      <c r="J7" s="7" t="n">
        <f aca="false">H7-E7</f>
        <v>28927.9699999997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4335201.13</v>
      </c>
      <c r="F8" s="8" t="n">
        <f aca="false">IF(C8=0,"",E8/C8-1)</f>
        <v>0.0799999974091168</v>
      </c>
      <c r="G8" s="6" t="n">
        <v>4035313.38</v>
      </c>
      <c r="H8" s="13" t="n">
        <f aca="false">'Targets 2027'!R8</f>
        <v>4306460.92</v>
      </c>
      <c r="I8" s="8" t="n">
        <f aca="false">IF(D8=0,"",H8/D8-1)</f>
        <v>0.0800000013040871</v>
      </c>
      <c r="J8" s="7" t="n">
        <f aca="false">H8-E8</f>
        <v>-28740.21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4919723.73</v>
      </c>
      <c r="F9" s="8" t="n">
        <f aca="false">IF(C9=0,"",E9/C9-1)</f>
        <v>0.0549998872673607</v>
      </c>
      <c r="G9" s="6" t="n">
        <v>4821807.27</v>
      </c>
      <c r="H9" s="13" t="n">
        <f aca="false">'Targets 2027'!R9</f>
        <v>4922421.7</v>
      </c>
      <c r="I9" s="8" t="n">
        <f aca="false">IF(D9=0,"",H9/D9-1)</f>
        <v>0.0549998867719035</v>
      </c>
      <c r="J9" s="7" t="n">
        <f aca="false">H9-E9</f>
        <v>2697.96999999974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3143269.05</v>
      </c>
      <c r="F10" s="8" t="n">
        <f aca="false">IF(C10=0,"",E10/C10-1)</f>
        <v>0.0747090866551325</v>
      </c>
      <c r="G10" s="6" t="n">
        <v>3000147.78</v>
      </c>
      <c r="H10" s="13" t="n">
        <f aca="false">'Targets 2027'!R10</f>
        <v>3121050.1</v>
      </c>
      <c r="I10" s="8" t="n">
        <f aca="false">IF(D10=0,"",H10/D10-1)</f>
        <v>0.0747090920066034</v>
      </c>
      <c r="J10" s="7" t="n">
        <f aca="false">H10-E10</f>
        <v>-22218.9499999997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968035.91</v>
      </c>
      <c r="F11" s="8" t="n">
        <f aca="false">IF(C11=0,"",E11/C11-1)</f>
        <v>0.0747090951998954</v>
      </c>
      <c r="G11" s="6" t="n">
        <v>904455.5</v>
      </c>
      <c r="H11" s="13" t="n">
        <f aca="false">'Targets 2027'!R11</f>
        <v>957661.62</v>
      </c>
      <c r="I11" s="8" t="n">
        <f aca="false">IF(D11=0,"",H11/D11-1)</f>
        <v>0.0747090897166789</v>
      </c>
      <c r="J11" s="7" t="n">
        <f aca="false">H11-E11</f>
        <v>-10374.29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3722030.95</v>
      </c>
      <c r="F12" s="8" t="n">
        <f aca="false">IF(C12=0,"",E12/C12-1)</f>
        <v>0.130000253564848</v>
      </c>
      <c r="G12" s="6" t="n">
        <v>3484427.01</v>
      </c>
      <c r="H12" s="13" t="n">
        <f aca="false">'Targets 2027'!R12</f>
        <v>3670961.17</v>
      </c>
      <c r="I12" s="8" t="n">
        <f aca="false">IF(D12=0,"",H12/D12-1)</f>
        <v>0.130000255153124</v>
      </c>
      <c r="J12" s="7" t="n">
        <f aca="false">H12-E12</f>
        <v>-51069.7800000003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3780407.8</v>
      </c>
      <c r="F13" s="8" t="n">
        <f aca="false">IF(C13=0,"",E13/C13-1)</f>
        <v>0.0900000681032391</v>
      </c>
      <c r="G13" s="6" t="n">
        <v>3530240.52</v>
      </c>
      <c r="H13" s="13" t="n">
        <f aca="false">'Targets 2027'!R13</f>
        <v>3776214.34</v>
      </c>
      <c r="I13" s="8" t="n">
        <f aca="false">IF(D13=0,"",H13/D13-1)</f>
        <v>0.0900000710076265</v>
      </c>
      <c r="J13" s="7" t="n">
        <f aca="false">H13-E13</f>
        <v>-4193.45999999996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8" t="n">
        <f aca="false">IF(C14=0,"",E14/C14-1)</f>
        <v>0.381387418944333</v>
      </c>
      <c r="G14" s="6" t="n">
        <v>868322.35</v>
      </c>
      <c r="H14" s="13" t="n">
        <f aca="false">'Targets 2027'!R15</f>
        <v>878714.25</v>
      </c>
      <c r="I14" s="8" t="n">
        <f aca="false">IF(D14=0,"",H14/D14-1)</f>
        <v>0.381388106996214</v>
      </c>
      <c r="J14" s="7" t="n">
        <f aca="false">H14-E14</f>
        <v>10955.13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31534489.96</v>
      </c>
      <c r="F15" s="11" t="n">
        <f aca="false">IF(C15=0,"",E15/C15-1)</f>
        <v>0.1061694555365</v>
      </c>
      <c r="G15" s="10" t="n">
        <f aca="false">SUM(G5:G14)</f>
        <v>29755988.51</v>
      </c>
      <c r="H15" s="10" t="n">
        <f aca="false">SUM(H5:H14)</f>
        <v>31451147.3</v>
      </c>
      <c r="I15" s="11" t="n">
        <f aca="false">IF(D15=0,"",H15/D15-1)</f>
        <v>0.106240810063847</v>
      </c>
      <c r="J15" s="10" t="n">
        <f aca="false">H15-E15</f>
        <v>-83342.6600000002</v>
      </c>
    </row>
    <row r="17" customFormat="false" ht="15" hidden="false" customHeight="false" outlineLevel="0" collapsed="false">
      <c r="A17" s="2" t="s">
        <v>64</v>
      </c>
    </row>
    <row r="18" customFormat="false" ht="15" hidden="false" customHeight="false" outlineLevel="0" collapsed="false">
      <c r="A18" s="2" t="s">
        <v>65</v>
      </c>
    </row>
    <row r="19" customFormat="false" ht="15" hidden="false" customHeight="false" outlineLevel="0" collapsed="false">
      <c r="A19" s="2" t="s">
        <v>66</v>
      </c>
    </row>
    <row r="20" customFormat="false" ht="15" hidden="false" customHeight="false" outlineLevel="0" collapsed="false">
      <c r="A20" s="2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2026-10-19T17:49:03Z</dcterms:created>
  <dc:creator>openpyxl</dc:creator>
  <dc:description/>
  <dc:language>en-US</dc:language>
  <cp:lastModifiedBy/>
  <dcterms:modified xsi:type="dcterms:W3CDTF">2026-10-19T17:49:03Z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