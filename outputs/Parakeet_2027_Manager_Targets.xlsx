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s 2027" sheetId="1" state="visible" r:id="rId3"/>
    <sheet name="Year to date" sheetId="2" state="visible" r:id="rId4"/>
    <sheet name="Monthly tracking" sheetId="3" state="visible" r:id="rId5"/>
    <sheet name="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5" authorId="0">
      <text>
        <r>
          <rPr>
            <sz val="10"/>
            <rFont val="Arial"/>
            <family val="2"/>
          </rPr>
          <t xml:space="preserve">Oct-Dec 2027: the budget's remodeled rate, $125K a month (reopening Oct 1, 2027).</t>
        </r>
      </text>
    </comment>
  </commentList>
</comments>
</file>

<file path=xl/sharedStrings.xml><?xml version="1.0" encoding="utf-8"?>
<sst xmlns="http://schemas.openxmlformats.org/spreadsheetml/2006/main" count="338" uniqueCount="63">
  <si>
    <t xml:space="preserve">Parakeet Café · 2027 sales targets by store</t>
  </si>
  <si>
    <t xml:space="preserve">Net sales targets per month (our plan; La Jolla Cove switches to the budget's remodeled rate from its Oct 1, 2027 reopening). Blue = values from the analysis; black = formulas.</t>
  </si>
  <si>
    <t xml:space="preserve">Store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</si>
  <si>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</si>
  <si>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</si>
  <si>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</si>
  <si>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</si>
  <si>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</si>
  <si>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</si>
  <si>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</si>
  <si>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</si>
  <si>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</si>
  <si>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</si>
  <si>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</si>
  <si>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</si>
  <si>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Q1</t>
  </si>
  <si>
    <t xml:space="preserve">Q2</t>
  </si>
  <si>
    <t xml:space="preserve">Q3</t>
  </si>
  <si>
    <t xml:space="preserve">Q4</t>
  </si>
  <si>
    <t xml:space="preserve">Total 2027</t>
  </si>
  <si>
    <t xml:space="preserve">2026 finish (run-rate)</t>
  </si>
  <si>
    <t xml:space="preserve">Growth</t>
  </si>
  <si>
    <t xml:space="preserve">Beverly Hills</t>
  </si>
  <si>
    <t xml:space="preserve">Brentwood</t>
  </si>
  <si>
    <t xml:space="preserve">Carlsbad</t>
  </si>
  <si>
    <t xml:space="preserve">Coronado</t>
  </si>
  <si>
    <t xml:space="preserve">Del Mar Café</t>
  </si>
  <si>
    <t xml:space="preserve">La Jolla Café</t>
  </si>
  <si>
    <t xml:space="preserve">La Jolla Juicery</t>
  </si>
  <si>
    <t xml:space="preserve">Little Italy Café</t>
  </si>
  <si>
    <t xml:space="preserve">Newport Beach</t>
  </si>
  <si>
    <t xml:space="preserve">Nine existing cafés</t>
  </si>
  <si>
    <t xml:space="preserve">La Jolla Cove</t>
  </si>
  <si>
    <t xml:space="preserve">Total, ten stores</t>
  </si>
  <si>
    <t xml:space="preserve">Year to date against target</t>
  </si>
  <si>
    <t xml:space="preserve">Calculated from 'Monthly tracking': only months with an actual entered count.</t>
  </si>
  <si>
    <t xml:space="preserve">Target 2027</t>
  </si>
  <si>
    <t xml:space="preserve">Target to date</t>
  </si>
  <si>
    <t xml:space="preserve">Actual to date</t>
  </si>
  <si>
    <t xml:space="preserve">Variance $</t>
  </si>
  <si>
    <t xml:space="preserve">Variance %</t>
  </si>
  <si>
    <t xml:space="preserve">Months entered</t>
  </si>
  <si>
    <t xml:space="preserve">Monthly tracking: enter each month's actual net sales in the cream cells</t>
  </si>
  <si>
    <t xml:space="preserve">Targets link to 'Targets 2027' (green). Variances fill in once an actual is entered.</t>
  </si>
  <si>
    <t xml:space="preserve">Month</t>
  </si>
  <si>
    <t xml:space="preserve">Target</t>
  </si>
  <si>
    <t xml:space="preserve">Actual</t>
  </si>
  <si>
    <t xml:space="preserve">How to fill in</t>
  </si>
  <si>
    <t xml:space="preserve">1. When a month closes, type the store's actual net sales from Toast, in dollars, in its cream cell (column D).</t>
  </si>
  <si>
    <t xml:space="preserve">2. Variance $ and % fill in on their own; the 'Year to date' tab adds up the months entered.</t>
  </si>
  <si>
    <t xml:space="preserve">3. Leave months blank until they close. Targets (green) link to 'Targets 2027': change them there.</t>
  </si>
  <si>
    <t xml:space="preserve">Colors: blue = typed values · black = formulas · green = links to another tab.</t>
  </si>
  <si>
    <t xml:space="preserve">Example (not counted)</t>
  </si>
  <si>
    <t xml:space="preserve">Reference: 2026 finish and 2027 under each view</t>
  </si>
  <si>
    <t xml:space="preserve">Sources: Toast POS net sales through Oct 14, 2026; investor budget workbook (2027_Sales_budget_Investors.xlsx); run-rate = last 45 days seasonally adjusted; target = our plan.</t>
  </si>
  <si>
    <t xml:space="preserve">2025 actual (Toast)</t>
  </si>
  <si>
    <t xml:space="preserve">2026 finish: budget</t>
  </si>
  <si>
    <t xml:space="preserve">2026 finish: run-rate</t>
  </si>
  <si>
    <t xml:space="preserve">2027: budget</t>
  </si>
  <si>
    <t xml:space="preserve">2027: run-rate objective</t>
  </si>
  <si>
    <t xml:space="preserve">2027: target</t>
  </si>
  <si>
    <t xml:space="preserve">Target vs budget</t>
  </si>
  <si>
    <t xml:space="preserve">La Jolla Cove's run-rate objective and target include the budget's remodeled $125K a month from Oct 1, 2027. New cafés are not included.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</si>
</sst>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65A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8DC"/>
      </patternFill>
    </fill>
    <fill>
      <patternFill patternType="solid">
        <fgColor rgb="FFFFF8D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0" min="2" style="0" width="12.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customFormat="false" ht="15" hidden="false" customHeight="false" outlineLevel="0" collapsed="false">
      <c r="A5" s="5" t="s">
        <v>22</v>
      </c>
      <c r="B5" s="6" t="n">
        <v>240335.44</v>
      </c>
      <c r="C5" s="6" t="n">
        <v>232184.11</v>
      </c>
      <c r="D5" s="6" t="n">
        <v>257387.11</v>
      </c>
      <c r="E5" s="6" t="n">
        <v>248190.77</v>
      </c>
      <c r="F5" s="6" t="n">
        <v>272444.59</v>
      </c>
      <c r="G5" s="6" t="n">
        <v>263775.07</v>
      </c>
      <c r="H5" s="6" t="n">
        <v>269201.25</v>
      </c>
      <c r="I5" s="6" t="n">
        <v>281751.13</v>
      </c>
      <c r="J5" s="6" t="n">
        <v>256443.1</v>
      </c>
      <c r="K5" s="6" t="n">
        <v>265311.55</v>
      </c>
      <c r="L5" s="6" t="n">
        <v>266803.98</v>
      </c>
      <c r="M5" s="6" t="n">
        <v>265578.91</v>
      </c>
      <c r="N5" s="7" t="n">
        <f aca="false">SUM(B5:D5)</f>
        <v>729906.66</v>
      </c>
      <c r="O5" s="7" t="n">
        <f aca="false">SUM(E5:G5)</f>
        <v>784410.43</v>
      </c>
      <c r="P5" s="7" t="n">
        <f aca="false">SUM(H5:J5)</f>
        <v>807395.48</v>
      </c>
      <c r="Q5" s="7" t="n">
        <f aca="false">SUM(K5:M5)</f>
        <v>797694.44</v>
      </c>
      <c r="R5" s="7" t="n">
        <f aca="false">SUM(B5:M5)</f>
        <v>3119407.01</v>
      </c>
      <c r="S5" s="6" t="n">
        <v>2606461.36</v>
      </c>
      <c r="T5" s="8" t="n">
        <f aca="false">IF(S5=0,"",R5/S5-1)</f>
        <v>0.196797718881204</v>
      </c>
    </row>
    <row r="6" customFormat="false" ht="15" hidden="false" customHeight="false" outlineLevel="0" collapsed="false">
      <c r="A6" s="5" t="s">
        <v>23</v>
      </c>
      <c r="B6" s="6" t="n">
        <v>227289.23</v>
      </c>
      <c r="C6" s="6" t="n">
        <v>203905.78</v>
      </c>
      <c r="D6" s="6" t="n">
        <v>222438.88</v>
      </c>
      <c r="E6" s="6" t="n">
        <v>214066.03</v>
      </c>
      <c r="F6" s="6" t="n">
        <v>230110.53</v>
      </c>
      <c r="G6" s="6" t="n">
        <v>204562.27</v>
      </c>
      <c r="H6" s="6" t="n">
        <v>205433.25</v>
      </c>
      <c r="I6" s="6" t="n">
        <v>216074.01</v>
      </c>
      <c r="J6" s="6" t="n">
        <v>215120.82</v>
      </c>
      <c r="K6" s="6" t="n">
        <v>238271.16</v>
      </c>
      <c r="L6" s="6" t="n">
        <v>237928.07</v>
      </c>
      <c r="M6" s="6" t="n">
        <v>226464.41</v>
      </c>
      <c r="N6" s="7" t="n">
        <f aca="false">SUM(B6:D6)</f>
        <v>653633.89</v>
      </c>
      <c r="O6" s="7" t="n">
        <f aca="false">SUM(E6:G6)</f>
        <v>648738.83</v>
      </c>
      <c r="P6" s="7" t="n">
        <f aca="false">SUM(H6:J6)</f>
        <v>636628.08</v>
      </c>
      <c r="Q6" s="7" t="n">
        <f aca="false">SUM(K6:M6)</f>
        <v>702663.64</v>
      </c>
      <c r="R6" s="7" t="n">
        <f aca="false">SUM(B6:M6)</f>
        <v>2641664.44</v>
      </c>
      <c r="S6" s="6" t="n">
        <v>2302939.27</v>
      </c>
      <c r="T6" s="8" t="n">
        <f aca="false">IF(S6=0,"",R6/S6-1)</f>
        <v>0.147083848198915</v>
      </c>
    </row>
    <row r="7" customFormat="false" ht="15" hidden="false" customHeight="false" outlineLevel="0" collapsed="false">
      <c r="A7" s="5" t="s">
        <v>24</v>
      </c>
      <c r="B7" s="6" t="n">
        <v>347155.87</v>
      </c>
      <c r="C7" s="6" t="n">
        <v>303859.01</v>
      </c>
      <c r="D7" s="6" t="n">
        <v>350055.72</v>
      </c>
      <c r="E7" s="6" t="n">
        <v>355295.68</v>
      </c>
      <c r="F7" s="6" t="n">
        <v>381551.8</v>
      </c>
      <c r="G7" s="6" t="n">
        <v>347223.39</v>
      </c>
      <c r="H7" s="6" t="n">
        <v>370112.79</v>
      </c>
      <c r="I7" s="6" t="n">
        <v>362058.09</v>
      </c>
      <c r="J7" s="6" t="n">
        <v>325338.38</v>
      </c>
      <c r="K7" s="6" t="n">
        <v>343803.24</v>
      </c>
      <c r="L7" s="6" t="n">
        <v>356440.28</v>
      </c>
      <c r="M7" s="6" t="n">
        <v>390772.6</v>
      </c>
      <c r="N7" s="7" t="n">
        <f aca="false">SUM(B7:D7)</f>
        <v>1001070.6</v>
      </c>
      <c r="O7" s="7" t="n">
        <f aca="false">SUM(E7:G7)</f>
        <v>1084070.87</v>
      </c>
      <c r="P7" s="7" t="n">
        <f aca="false">SUM(H7:J7)</f>
        <v>1057509.26</v>
      </c>
      <c r="Q7" s="7" t="n">
        <f aca="false">SUM(K7:M7)</f>
        <v>1091016.12</v>
      </c>
      <c r="R7" s="7" t="n">
        <f aca="false">SUM(B7:M7)</f>
        <v>4233666.85</v>
      </c>
      <c r="S7" s="6" t="n">
        <v>3723643.18</v>
      </c>
      <c r="T7" s="8" t="n">
        <f aca="false">IF(S7=0,"",R7/S7-1)</f>
        <v>0.136968996583609</v>
      </c>
    </row>
    <row r="8" customFormat="false" ht="15" hidden="false" customHeight="false" outlineLevel="0" collapsed="false">
      <c r="A8" s="5" t="s">
        <v>25</v>
      </c>
      <c r="B8" s="6" t="n">
        <v>312399.46</v>
      </c>
      <c r="C8" s="6" t="n">
        <v>281595.6</v>
      </c>
      <c r="D8" s="6" t="n">
        <v>362333.45</v>
      </c>
      <c r="E8" s="6" t="n">
        <v>356921.7</v>
      </c>
      <c r="F8" s="6" t="n">
        <v>376891.75</v>
      </c>
      <c r="G8" s="6" t="n">
        <v>378275.27</v>
      </c>
      <c r="H8" s="6" t="n">
        <v>516508.85</v>
      </c>
      <c r="I8" s="6" t="n">
        <v>427274.35</v>
      </c>
      <c r="J8" s="6" t="n">
        <v>310518.86</v>
      </c>
      <c r="K8" s="6" t="n">
        <v>327674.08</v>
      </c>
      <c r="L8" s="6" t="n">
        <v>306577.59</v>
      </c>
      <c r="M8" s="6" t="n">
        <v>350719.75</v>
      </c>
      <c r="N8" s="7" t="n">
        <f aca="false">SUM(B8:D8)</f>
        <v>956328.51</v>
      </c>
      <c r="O8" s="7" t="n">
        <f aca="false">SUM(E8:G8)</f>
        <v>1112088.72</v>
      </c>
      <c r="P8" s="7" t="n">
        <f aca="false">SUM(H8:J8)</f>
        <v>1254302.06</v>
      </c>
      <c r="Q8" s="7" t="n">
        <f aca="false">SUM(K8:M8)</f>
        <v>984971.42</v>
      </c>
      <c r="R8" s="7" t="n">
        <f aca="false">SUM(B8:M8)</f>
        <v>4307690.71</v>
      </c>
      <c r="S8" s="6" t="n">
        <v>3987463.81</v>
      </c>
      <c r="T8" s="8" t="n">
        <f aca="false">IF(S8=0,"",R8/S8-1)</f>
        <v>0.0803084153884772</v>
      </c>
    </row>
    <row r="9" customFormat="false" ht="15" hidden="false" customHeight="false" outlineLevel="0" collapsed="false">
      <c r="A9" s="5" t="s">
        <v>26</v>
      </c>
      <c r="B9" s="6" t="n">
        <v>430949.59</v>
      </c>
      <c r="C9" s="6" t="n">
        <v>383310.31</v>
      </c>
      <c r="D9" s="6" t="n">
        <v>438484.65</v>
      </c>
      <c r="E9" s="6" t="n">
        <v>416409.53</v>
      </c>
      <c r="F9" s="6" t="n">
        <v>454594.01</v>
      </c>
      <c r="G9" s="6" t="n">
        <v>421443.45</v>
      </c>
      <c r="H9" s="6" t="n">
        <v>444464.45</v>
      </c>
      <c r="I9" s="6" t="n">
        <v>462061.08</v>
      </c>
      <c r="J9" s="6" t="n">
        <v>403897.6</v>
      </c>
      <c r="K9" s="6" t="n">
        <v>425684.45</v>
      </c>
      <c r="L9" s="6" t="n">
        <v>416009.75</v>
      </c>
      <c r="M9" s="6" t="n">
        <v>453974.83</v>
      </c>
      <c r="N9" s="7" t="n">
        <f aca="false">SUM(B9:D9)</f>
        <v>1252744.55</v>
      </c>
      <c r="O9" s="7" t="n">
        <f aca="false">SUM(E9:G9)</f>
        <v>1292446.99</v>
      </c>
      <c r="P9" s="7" t="n">
        <f aca="false">SUM(H9:J9)</f>
        <v>1310423.13</v>
      </c>
      <c r="Q9" s="7" t="n">
        <f aca="false">SUM(K9:M9)</f>
        <v>1295669.03</v>
      </c>
      <c r="R9" s="7" t="n">
        <f aca="false">SUM(B9:M9)</f>
        <v>5151283.7</v>
      </c>
      <c r="S9" s="6" t="n">
        <v>4665803.06</v>
      </c>
      <c r="T9" s="8" t="n">
        <f aca="false">IF(S9=0,"",R9/S9-1)</f>
        <v>0.104050821210615</v>
      </c>
    </row>
    <row r="10" customFormat="false" ht="15" hidden="false" customHeight="false" outlineLevel="0" collapsed="false">
      <c r="A10" s="5" t="s">
        <v>27</v>
      </c>
      <c r="B10" s="6" t="n">
        <v>257347.15</v>
      </c>
      <c r="C10" s="6" t="n">
        <v>234138.23</v>
      </c>
      <c r="D10" s="6" t="n">
        <v>265056.56</v>
      </c>
      <c r="E10" s="6" t="n">
        <v>262039.19</v>
      </c>
      <c r="F10" s="6" t="n">
        <v>279695.99</v>
      </c>
      <c r="G10" s="6" t="n">
        <v>254919.15</v>
      </c>
      <c r="H10" s="6" t="n">
        <v>278642.95</v>
      </c>
      <c r="I10" s="6" t="n">
        <v>278428.66</v>
      </c>
      <c r="J10" s="6" t="n">
        <v>244515.81</v>
      </c>
      <c r="K10" s="6" t="n">
        <v>257847.21</v>
      </c>
      <c r="L10" s="6" t="n">
        <v>250121.21</v>
      </c>
      <c r="M10" s="6" t="n">
        <v>264806</v>
      </c>
      <c r="N10" s="7" t="n">
        <f aca="false">SUM(B10:D10)</f>
        <v>756541.94</v>
      </c>
      <c r="O10" s="7" t="n">
        <f aca="false">SUM(E10:G10)</f>
        <v>796654.33</v>
      </c>
      <c r="P10" s="7" t="n">
        <f aca="false">SUM(H10:J10)</f>
        <v>801587.42</v>
      </c>
      <c r="Q10" s="7" t="n">
        <f aca="false">SUM(K10:M10)</f>
        <v>772774.42</v>
      </c>
      <c r="R10" s="7" t="n">
        <f aca="false">SUM(B10:M10)</f>
        <v>3127558.11</v>
      </c>
      <c r="S10" s="6" t="n">
        <v>2904088.3</v>
      </c>
      <c r="T10" s="8" t="n">
        <f aca="false">IF(S10=0,"",R10/S10-1)</f>
        <v>0.0769500741420295</v>
      </c>
    </row>
    <row r="11" customFormat="false" ht="15" hidden="false" customHeight="false" outlineLevel="0" collapsed="false">
      <c r="A11" s="5" t="s">
        <v>28</v>
      </c>
      <c r="B11" s="6" t="n">
        <v>70024.33</v>
      </c>
      <c r="C11" s="6" t="n">
        <v>65363.47</v>
      </c>
      <c r="D11" s="6" t="n">
        <v>80282.84</v>
      </c>
      <c r="E11" s="6" t="n">
        <v>78691.41</v>
      </c>
      <c r="F11" s="6" t="n">
        <v>81914.6</v>
      </c>
      <c r="G11" s="6" t="n">
        <v>80680.83</v>
      </c>
      <c r="H11" s="6" t="n">
        <v>95117.93</v>
      </c>
      <c r="I11" s="6" t="n">
        <v>92412.44</v>
      </c>
      <c r="J11" s="6" t="n">
        <v>75560.91</v>
      </c>
      <c r="K11" s="6" t="n">
        <v>74362.39</v>
      </c>
      <c r="L11" s="6" t="n">
        <v>67804.32</v>
      </c>
      <c r="M11" s="6" t="n">
        <v>69510.22</v>
      </c>
      <c r="N11" s="7" t="n">
        <f aca="false">SUM(B11:D11)</f>
        <v>215670.64</v>
      </c>
      <c r="O11" s="7" t="n">
        <f aca="false">SUM(E11:G11)</f>
        <v>241286.84</v>
      </c>
      <c r="P11" s="7" t="n">
        <f aca="false">SUM(H11:J11)</f>
        <v>263091.28</v>
      </c>
      <c r="Q11" s="7" t="n">
        <f aca="false">SUM(K11:M11)</f>
        <v>211676.93</v>
      </c>
      <c r="R11" s="7" t="n">
        <f aca="false">SUM(B11:M11)</f>
        <v>931725.69</v>
      </c>
      <c r="S11" s="6" t="n">
        <v>891089.16</v>
      </c>
      <c r="T11" s="8" t="n">
        <f aca="false">IF(S11=0,"",R11/S11-1)</f>
        <v>0.0456032143854157</v>
      </c>
    </row>
    <row r="12" customFormat="false" ht="15" hidden="false" customHeight="false" outlineLevel="0" collapsed="false">
      <c r="A12" s="5" t="s">
        <v>29</v>
      </c>
      <c r="B12" s="6" t="n">
        <v>296914.31</v>
      </c>
      <c r="C12" s="6" t="n">
        <v>286294.25</v>
      </c>
      <c r="D12" s="6" t="n">
        <v>338579.82</v>
      </c>
      <c r="E12" s="6" t="n">
        <v>342033.7</v>
      </c>
      <c r="F12" s="6" t="n">
        <v>347090.01</v>
      </c>
      <c r="G12" s="6" t="n">
        <v>332147.99</v>
      </c>
      <c r="H12" s="6" t="n">
        <v>367354.16</v>
      </c>
      <c r="I12" s="6" t="n">
        <v>368327.3</v>
      </c>
      <c r="J12" s="6" t="n">
        <v>307233.84</v>
      </c>
      <c r="K12" s="6" t="n">
        <v>316289.17</v>
      </c>
      <c r="L12" s="6" t="n">
        <v>306667.72</v>
      </c>
      <c r="M12" s="6" t="n">
        <v>319163.66</v>
      </c>
      <c r="N12" s="7" t="n">
        <f aca="false">SUM(B12:D12)</f>
        <v>921788.38</v>
      </c>
      <c r="O12" s="7" t="n">
        <f aca="false">SUM(E12:G12)</f>
        <v>1021271.7</v>
      </c>
      <c r="P12" s="7" t="n">
        <f aca="false">SUM(H12:J12)</f>
        <v>1042915.3</v>
      </c>
      <c r="Q12" s="7" t="n">
        <f aca="false">SUM(K12:M12)</f>
        <v>942120.55</v>
      </c>
      <c r="R12" s="7" t="n">
        <f aca="false">SUM(B12:M12)</f>
        <v>3928095.93</v>
      </c>
      <c r="S12" s="6" t="n">
        <v>3248637.47</v>
      </c>
      <c r="T12" s="8" t="n">
        <f aca="false">IF(S12=0,"",R12/S12-1)</f>
        <v>0.209151826350141</v>
      </c>
    </row>
    <row r="13" customFormat="false" ht="15" hidden="false" customHeight="false" outlineLevel="0" collapsed="false">
      <c r="A13" s="5" t="s">
        <v>30</v>
      </c>
      <c r="B13" s="6" t="n">
        <v>327146.38</v>
      </c>
      <c r="C13" s="6" t="n">
        <v>271492.7</v>
      </c>
      <c r="D13" s="6" t="n">
        <v>316609.81</v>
      </c>
      <c r="E13" s="6" t="n">
        <v>307133.63</v>
      </c>
      <c r="F13" s="6" t="n">
        <v>349631.07</v>
      </c>
      <c r="G13" s="6" t="n">
        <v>326325.44</v>
      </c>
      <c r="H13" s="6" t="n">
        <v>363061.05</v>
      </c>
      <c r="I13" s="6" t="n">
        <v>359674.68</v>
      </c>
      <c r="J13" s="6" t="n">
        <v>296046.26</v>
      </c>
      <c r="K13" s="6" t="n">
        <v>317470.65</v>
      </c>
      <c r="L13" s="6" t="n">
        <v>297737.89</v>
      </c>
      <c r="M13" s="6" t="n">
        <v>322139.38</v>
      </c>
      <c r="N13" s="7" t="n">
        <f aca="false">SUM(B13:D13)</f>
        <v>915248.89</v>
      </c>
      <c r="O13" s="7" t="n">
        <f aca="false">SUM(E13:G13)</f>
        <v>983090.14</v>
      </c>
      <c r="P13" s="7" t="n">
        <f aca="false">SUM(H13:J13)</f>
        <v>1018781.99</v>
      </c>
      <c r="Q13" s="7" t="n">
        <f aca="false">SUM(K13:M13)</f>
        <v>937347.92</v>
      </c>
      <c r="R13" s="7" t="n">
        <f aca="false">SUM(B13:M13)</f>
        <v>3854468.94</v>
      </c>
      <c r="S13" s="6" t="n">
        <v>3464416.6</v>
      </c>
      <c r="T13" s="8" t="n">
        <f aca="false">IF(S13=0,"",R13/S13-1)</f>
        <v>0.112588174297514</v>
      </c>
    </row>
    <row r="14" customFormat="false" ht="15" hidden="false" customHeight="false" outlineLevel="0" collapsed="false">
      <c r="A14" s="9" t="s">
        <v>31</v>
      </c>
      <c r="B14" s="10" t="n">
        <f aca="false">SUM(B5:B13)</f>
        <v>2509561.76</v>
      </c>
      <c r="C14" s="10" t="n">
        <f aca="false">SUM(C5:C13)</f>
        <v>2262143.46</v>
      </c>
      <c r="D14" s="10" t="n">
        <f aca="false">SUM(D5:D13)</f>
        <v>2631228.84</v>
      </c>
      <c r="E14" s="10" t="n">
        <f aca="false">SUM(E5:E13)</f>
        <v>2580781.64</v>
      </c>
      <c r="F14" s="10" t="n">
        <f aca="false">SUM(F5:F13)</f>
        <v>2773924.35</v>
      </c>
      <c r="G14" s="10" t="n">
        <f aca="false">SUM(G5:G13)</f>
        <v>2609352.86</v>
      </c>
      <c r="H14" s="10" t="n">
        <f aca="false">SUM(H5:H13)</f>
        <v>2909896.68</v>
      </c>
      <c r="I14" s="10" t="n">
        <f aca="false">SUM(I5:I13)</f>
        <v>2848061.74</v>
      </c>
      <c r="J14" s="10" t="n">
        <f aca="false">SUM(J5:J13)</f>
        <v>2434675.58</v>
      </c>
      <c r="K14" s="10" t="n">
        <f aca="false">SUM(K5:K13)</f>
        <v>2566713.9</v>
      </c>
      <c r="L14" s="10" t="n">
        <f aca="false">SUM(L5:L13)</f>
        <v>2506090.81</v>
      </c>
      <c r="M14" s="10" t="n">
        <f aca="false">SUM(M5:M13)</f>
        <v>2663129.76</v>
      </c>
      <c r="N14" s="10" t="n">
        <f aca="false">SUM(N5:N13)</f>
        <v>7402934.06</v>
      </c>
      <c r="O14" s="10" t="n">
        <f aca="false">SUM(O5:O13)</f>
        <v>7964058.85</v>
      </c>
      <c r="P14" s="10" t="n">
        <f aca="false">SUM(P5:P13)</f>
        <v>8192634</v>
      </c>
      <c r="Q14" s="10" t="n">
        <f aca="false">SUM(Q5:Q13)</f>
        <v>7735934.47</v>
      </c>
      <c r="R14" s="10" t="n">
        <f aca="false">SUM(R5:R13)</f>
        <v>31295561.38</v>
      </c>
      <c r="S14" s="10" t="n">
        <f aca="false">SUM(S5:S13)</f>
        <v>27794542.21</v>
      </c>
      <c r="T14" s="11" t="n">
        <f aca="false">IF(S14=0,"",R14/S14-1)</f>
        <v>0.125960670391628</v>
      </c>
    </row>
    <row r="15" customFormat="false" ht="15" hidden="false" customHeight="false" outlineLevel="0" collapsed="false">
      <c r="A15" s="5" t="s">
        <v>32</v>
      </c>
      <c r="B15" s="6" t="n">
        <v>49132.16</v>
      </c>
      <c r="C15" s="6" t="n">
        <v>47789.29</v>
      </c>
      <c r="D15" s="6" t="n">
        <v>57042.34</v>
      </c>
      <c r="E15" s="6" t="n">
        <v>58246.45</v>
      </c>
      <c r="F15" s="6" t="n">
        <v>61613.98</v>
      </c>
      <c r="G15" s="6" t="n">
        <v>59373.16</v>
      </c>
      <c r="H15" s="6" t="n">
        <v>69005.96</v>
      </c>
      <c r="I15" s="6" t="n">
        <v>63974.68</v>
      </c>
      <c r="J15" s="6" t="n">
        <v>55593.97</v>
      </c>
      <c r="K15" s="6" t="n">
        <v>125000</v>
      </c>
      <c r="L15" s="6" t="n">
        <v>125000</v>
      </c>
      <c r="M15" s="6" t="n">
        <v>125000</v>
      </c>
      <c r="N15" s="7" t="n">
        <f aca="false">SUM(B15:D15)</f>
        <v>153963.79</v>
      </c>
      <c r="O15" s="7" t="n">
        <f aca="false">SUM(E15:G15)</f>
        <v>179233.59</v>
      </c>
      <c r="P15" s="7" t="n">
        <f aca="false">SUM(H15:J15)</f>
        <v>188574.61</v>
      </c>
      <c r="Q15" s="7" t="n">
        <f aca="false">SUM(K15:M15)</f>
        <v>375000</v>
      </c>
      <c r="R15" s="7" t="n">
        <f aca="false">SUM(B15:M15)</f>
        <v>896771.99</v>
      </c>
      <c r="S15" s="6" t="n">
        <v>636109.61</v>
      </c>
      <c r="T15" s="8" t="n">
        <f aca="false">IF(S15=0,"",R15/S15-1)</f>
        <v>0.409775887523536</v>
      </c>
    </row>
    <row r="16" customFormat="false" ht="15" hidden="false" customHeight="false" outlineLevel="0" collapsed="false">
      <c r="A16" s="9" t="s">
        <v>33</v>
      </c>
      <c r="B16" s="10" t="n">
        <f aca="false">B14+B15</f>
        <v>2558693.92</v>
      </c>
      <c r="C16" s="10" t="n">
        <f aca="false">C14+C15</f>
        <v>2309932.75</v>
      </c>
      <c r="D16" s="10" t="n">
        <f aca="false">D14+D15</f>
        <v>2688271.18</v>
      </c>
      <c r="E16" s="10" t="n">
        <f aca="false">E14+E15</f>
        <v>2639028.09</v>
      </c>
      <c r="F16" s="10" t="n">
        <f aca="false">F14+F15</f>
        <v>2835538.33</v>
      </c>
      <c r="G16" s="10" t="n">
        <f aca="false">G14+G15</f>
        <v>2668726.02</v>
      </c>
      <c r="H16" s="10" t="n">
        <f aca="false">H14+H15</f>
        <v>2978902.64</v>
      </c>
      <c r="I16" s="10" t="n">
        <f aca="false">I14+I15</f>
        <v>2912036.42</v>
      </c>
      <c r="J16" s="10" t="n">
        <f aca="false">J14+J15</f>
        <v>2490269.55</v>
      </c>
      <c r="K16" s="10" t="n">
        <f aca="false">K14+K15</f>
        <v>2691713.9</v>
      </c>
      <c r="L16" s="10" t="n">
        <f aca="false">L14+L15</f>
        <v>2631090.81</v>
      </c>
      <c r="M16" s="10" t="n">
        <f aca="false">M14+M15</f>
        <v>2788129.76</v>
      </c>
      <c r="N16" s="10" t="n">
        <f aca="false">N14+N15</f>
        <v>7556897.85</v>
      </c>
      <c r="O16" s="10" t="n">
        <f aca="false">O14+O15</f>
        <v>8143292.44</v>
      </c>
      <c r="P16" s="10" t="n">
        <f aca="false">P14+P15</f>
        <v>8381208.61</v>
      </c>
      <c r="Q16" s="10" t="n">
        <f aca="false">Q14+Q15</f>
        <v>8110934.47</v>
      </c>
      <c r="R16" s="10" t="n">
        <f aca="false">R14+R15</f>
        <v>32192333.37</v>
      </c>
      <c r="S16" s="10" t="n">
        <f aca="false">S14+S15</f>
        <v>28430651.82</v>
      </c>
      <c r="T16" s="11" t="n">
        <f aca="false">IF(S16=0,"",R16/S16-1)</f>
        <v>0.132310774083406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12" t="s">
        <v>2</v>
      </c>
      <c r="B4" s="12" t="s">
        <v>36</v>
      </c>
      <c r="C4" s="12" t="s">
        <v>37</v>
      </c>
      <c r="D4" s="12" t="s">
        <v>38</v>
      </c>
      <c r="E4" s="12" t="s">
        <v>39</v>
      </c>
      <c r="F4" s="12" t="s">
        <v>40</v>
      </c>
      <c r="G4" s="12" t="s">
        <v>41</v>
      </c>
    </row>
    <row r="5" customFormat="false" ht="15" hidden="false" customHeight="false" outlineLevel="0" collapsed="false">
      <c r="A5" s="5" t="s">
        <v>22</v>
      </c>
      <c r="B5" s="13" t="n">
        <f aca="false">'Targets 2027'!R5</f>
        <v>3119407.01</v>
      </c>
      <c r="C5" s="7" t="n">
        <f aca="false">SUMIFS('Monthly tracking'!$C$5:$C$124,'Monthly tracking'!$A$5:$A$124,A5,'Monthly tracking'!$D$5:$D$124,"&lt;&gt;")</f>
        <v>0</v>
      </c>
      <c r="D5" s="7" t="n">
        <f aca="false">SUMIFS('Monthly tracking'!$D$5:$D$124,'Monthly tracking'!$A$5:$A$124,A5)</f>
        <v>0</v>
      </c>
      <c r="E5" s="7" t="str">
        <f aca="false">IF(G5=0,"",D5-C5)</f>
        <v/>
      </c>
      <c r="F5" s="8" t="str">
        <f aca="false">IF(G5=0,"",D5/C5-1)</f>
        <v/>
      </c>
      <c r="G5" s="5" t="n">
        <f aca="false">COUNTIFS('Monthly tracking'!$A$5:$A$124,A5,'Monthly tracking'!$D$5:$D$124,"&lt;&gt;")</f>
        <v>0</v>
      </c>
    </row>
    <row r="6" customFormat="false" ht="15" hidden="false" customHeight="false" outlineLevel="0" collapsed="false">
      <c r="A6" s="5" t="s">
        <v>23</v>
      </c>
      <c r="B6" s="13" t="n">
        <f aca="false">'Targets 2027'!R6</f>
        <v>2641664.44</v>
      </c>
      <c r="C6" s="7" t="n">
        <f aca="false">SUMIFS('Monthly tracking'!$C$5:$C$124,'Monthly tracking'!$A$5:$A$124,A6,'Monthly tracking'!$D$5:$D$124,"&lt;&gt;")</f>
        <v>0</v>
      </c>
      <c r="D6" s="7" t="n">
        <f aca="false">SUMIFS('Monthly tracking'!$D$5:$D$124,'Monthly tracking'!$A$5:$A$124,A6)</f>
        <v>0</v>
      </c>
      <c r="E6" s="7" t="str">
        <f aca="false">IF(G6=0,"",D6-C6)</f>
        <v/>
      </c>
      <c r="F6" s="8" t="str">
        <f aca="false">IF(G6=0,"",D6/C6-1)</f>
        <v/>
      </c>
      <c r="G6" s="5" t="n">
        <f aca="false">COUNTIFS('Monthly tracking'!$A$5:$A$124,A6,'Monthly tracking'!$D$5:$D$124,"&lt;&gt;")</f>
        <v>0</v>
      </c>
    </row>
    <row r="7" customFormat="false" ht="15" hidden="false" customHeight="false" outlineLevel="0" collapsed="false">
      <c r="A7" s="5" t="s">
        <v>24</v>
      </c>
      <c r="B7" s="13" t="n">
        <f aca="false">'Targets 2027'!R7</f>
        <v>4233666.85</v>
      </c>
      <c r="C7" s="7" t="n">
        <f aca="false">SUMIFS('Monthly tracking'!$C$5:$C$124,'Monthly tracking'!$A$5:$A$124,A7,'Monthly tracking'!$D$5:$D$124,"&lt;&gt;")</f>
        <v>0</v>
      </c>
      <c r="D7" s="7" t="n">
        <f aca="false">SUMIFS('Monthly tracking'!$D$5:$D$124,'Monthly tracking'!$A$5:$A$124,A7)</f>
        <v>0</v>
      </c>
      <c r="E7" s="7" t="str">
        <f aca="false">IF(G7=0,"",D7-C7)</f>
        <v/>
      </c>
      <c r="F7" s="8" t="str">
        <f aca="false">IF(G7=0,"",D7/C7-1)</f>
        <v/>
      </c>
      <c r="G7" s="5" t="n">
        <f aca="false">COUNTIFS('Monthly tracking'!$A$5:$A$124,A7,'Monthly tracking'!$D$5:$D$124,"&lt;&gt;")</f>
        <v>0</v>
      </c>
    </row>
    <row r="8" customFormat="false" ht="15" hidden="false" customHeight="false" outlineLevel="0" collapsed="false">
      <c r="A8" s="5" t="s">
        <v>25</v>
      </c>
      <c r="B8" s="13" t="n">
        <f aca="false">'Targets 2027'!R8</f>
        <v>4307690.71</v>
      </c>
      <c r="C8" s="7" t="n">
        <f aca="false">SUMIFS('Monthly tracking'!$C$5:$C$124,'Monthly tracking'!$A$5:$A$124,A8,'Monthly tracking'!$D$5:$D$124,"&lt;&gt;")</f>
        <v>0</v>
      </c>
      <c r="D8" s="7" t="n">
        <f aca="false">SUMIFS('Monthly tracking'!$D$5:$D$124,'Monthly tracking'!$A$5:$A$124,A8)</f>
        <v>0</v>
      </c>
      <c r="E8" s="7" t="str">
        <f aca="false">IF(G8=0,"",D8-C8)</f>
        <v/>
      </c>
      <c r="F8" s="8" t="str">
        <f aca="false">IF(G8=0,"",D8/C8-1)</f>
        <v/>
      </c>
      <c r="G8" s="5" t="n">
        <f aca="false">COUNTIFS('Monthly tracking'!$A$5:$A$124,A8,'Monthly tracking'!$D$5:$D$124,"&lt;&gt;")</f>
        <v>0</v>
      </c>
    </row>
    <row r="9" customFormat="false" ht="15" hidden="false" customHeight="false" outlineLevel="0" collapsed="false">
      <c r="A9" s="5" t="s">
        <v>26</v>
      </c>
      <c r="B9" s="13" t="n">
        <f aca="false">'Targets 2027'!R9</f>
        <v>5151283.7</v>
      </c>
      <c r="C9" s="7" t="n">
        <f aca="false">SUMIFS('Monthly tracking'!$C$5:$C$124,'Monthly tracking'!$A$5:$A$124,A9,'Monthly tracking'!$D$5:$D$124,"&lt;&gt;")</f>
        <v>0</v>
      </c>
      <c r="D9" s="7" t="n">
        <f aca="false">SUMIFS('Monthly tracking'!$D$5:$D$124,'Monthly tracking'!$A$5:$A$124,A9)</f>
        <v>0</v>
      </c>
      <c r="E9" s="7" t="str">
        <f aca="false">IF(G9=0,"",D9-C9)</f>
        <v/>
      </c>
      <c r="F9" s="8" t="str">
        <f aca="false">IF(G9=0,"",D9/C9-1)</f>
        <v/>
      </c>
      <c r="G9" s="5" t="n">
        <f aca="false">COUNTIFS('Monthly tracking'!$A$5:$A$124,A9,'Monthly tracking'!$D$5:$D$124,"&lt;&gt;")</f>
        <v>0</v>
      </c>
    </row>
    <row r="10" customFormat="false" ht="15" hidden="false" customHeight="false" outlineLevel="0" collapsed="false">
      <c r="A10" s="5" t="s">
        <v>27</v>
      </c>
      <c r="B10" s="13" t="n">
        <f aca="false">'Targets 2027'!R10</f>
        <v>3127558.11</v>
      </c>
      <c r="C10" s="7" t="n">
        <f aca="false">SUMIFS('Monthly tracking'!$C$5:$C$124,'Monthly tracking'!$A$5:$A$124,A10,'Monthly tracking'!$D$5:$D$124,"&lt;&gt;")</f>
        <v>0</v>
      </c>
      <c r="D10" s="7" t="n">
        <f aca="false">SUMIFS('Monthly tracking'!$D$5:$D$124,'Monthly tracking'!$A$5:$A$124,A10)</f>
        <v>0</v>
      </c>
      <c r="E10" s="7" t="str">
        <f aca="false">IF(G10=0,"",D10-C10)</f>
        <v/>
      </c>
      <c r="F10" s="8" t="str">
        <f aca="false">IF(G10=0,"",D10/C10-1)</f>
        <v/>
      </c>
      <c r="G10" s="5" t="n">
        <f aca="false">COUNTIFS('Monthly tracking'!$A$5:$A$124,A10,'Monthly tracking'!$D$5:$D$124,"&lt;&gt;")</f>
        <v>0</v>
      </c>
    </row>
    <row r="11" customFormat="false" ht="15" hidden="false" customHeight="false" outlineLevel="0" collapsed="false">
      <c r="A11" s="5" t="s">
        <v>28</v>
      </c>
      <c r="B11" s="13" t="n">
        <f aca="false">'Targets 2027'!R11</f>
        <v>931725.69</v>
      </c>
      <c r="C11" s="7" t="n">
        <f aca="false">SUMIFS('Monthly tracking'!$C$5:$C$124,'Monthly tracking'!$A$5:$A$124,A11,'Monthly tracking'!$D$5:$D$124,"&lt;&gt;")</f>
        <v>0</v>
      </c>
      <c r="D11" s="7" t="n">
        <f aca="false">SUMIFS('Monthly tracking'!$D$5:$D$124,'Monthly tracking'!$A$5:$A$124,A11)</f>
        <v>0</v>
      </c>
      <c r="E11" s="7" t="str">
        <f aca="false">IF(G11=0,"",D11-C11)</f>
        <v/>
      </c>
      <c r="F11" s="8" t="str">
        <f aca="false">IF(G11=0,"",D11/C11-1)</f>
        <v/>
      </c>
      <c r="G11" s="5" t="n">
        <f aca="false">COUNTIFS('Monthly tracking'!$A$5:$A$124,A11,'Monthly tracking'!$D$5:$D$124,"&lt;&gt;")</f>
        <v>0</v>
      </c>
    </row>
    <row r="12" customFormat="false" ht="15" hidden="false" customHeight="false" outlineLevel="0" collapsed="false">
      <c r="A12" s="5" t="s">
        <v>29</v>
      </c>
      <c r="B12" s="13" t="n">
        <f aca="false">'Targets 2027'!R12</f>
        <v>3928095.93</v>
      </c>
      <c r="C12" s="7" t="n">
        <f aca="false">SUMIFS('Monthly tracking'!$C$5:$C$124,'Monthly tracking'!$A$5:$A$124,A12,'Monthly tracking'!$D$5:$D$124,"&lt;&gt;")</f>
        <v>0</v>
      </c>
      <c r="D12" s="7" t="n">
        <f aca="false">SUMIFS('Monthly tracking'!$D$5:$D$124,'Monthly tracking'!$A$5:$A$124,A12)</f>
        <v>0</v>
      </c>
      <c r="E12" s="7" t="str">
        <f aca="false">IF(G12=0,"",D12-C12)</f>
        <v/>
      </c>
      <c r="F12" s="8" t="str">
        <f aca="false">IF(G12=0,"",D12/C12-1)</f>
        <v/>
      </c>
      <c r="G12" s="5" t="n">
        <f aca="false">COUNTIFS('Monthly tracking'!$A$5:$A$124,A12,'Monthly tracking'!$D$5:$D$124,"&lt;&gt;")</f>
        <v>0</v>
      </c>
    </row>
    <row r="13" customFormat="false" ht="15" hidden="false" customHeight="false" outlineLevel="0" collapsed="false">
      <c r="A13" s="5" t="s">
        <v>30</v>
      </c>
      <c r="B13" s="13" t="n">
        <f aca="false">'Targets 2027'!R13</f>
        <v>3854468.94</v>
      </c>
      <c r="C13" s="7" t="n">
        <f aca="false">SUMIFS('Monthly tracking'!$C$5:$C$124,'Monthly tracking'!$A$5:$A$124,A13,'Monthly tracking'!$D$5:$D$124,"&lt;&gt;")</f>
        <v>0</v>
      </c>
      <c r="D13" s="7" t="n">
        <f aca="false">SUMIFS('Monthly tracking'!$D$5:$D$124,'Monthly tracking'!$A$5:$A$124,A13)</f>
        <v>0</v>
      </c>
      <c r="E13" s="7" t="str">
        <f aca="false">IF(G13=0,"",D13-C13)</f>
        <v/>
      </c>
      <c r="F13" s="8" t="str">
        <f aca="false">IF(G13=0,"",D13/C13-1)</f>
        <v/>
      </c>
      <c r="G13" s="5" t="n">
        <f aca="false">COUNTIFS('Monthly tracking'!$A$5:$A$124,A13,'Monthly tracking'!$D$5:$D$124,"&lt;&gt;")</f>
        <v>0</v>
      </c>
    </row>
    <row r="14" customFormat="false" ht="15" hidden="false" customHeight="false" outlineLevel="0" collapsed="false">
      <c r="A14" s="5" t="s">
        <v>32</v>
      </c>
      <c r="B14" s="13" t="n">
        <f aca="false">'Targets 2027'!R15</f>
        <v>896771.99</v>
      </c>
      <c r="C14" s="7" t="n">
        <f aca="false">SUMIFS('Monthly tracking'!$C$5:$C$124,'Monthly tracking'!$A$5:$A$124,A14,'Monthly tracking'!$D$5:$D$124,"&lt;&gt;")</f>
        <v>0</v>
      </c>
      <c r="D14" s="7" t="n">
        <f aca="false">SUMIFS('Monthly tracking'!$D$5:$D$124,'Monthly tracking'!$A$5:$A$124,A14)</f>
        <v>0</v>
      </c>
      <c r="E14" s="7" t="str">
        <f aca="false">IF(G14=0,"",D14-C14)</f>
        <v/>
      </c>
      <c r="F14" s="8" t="str">
        <f aca="false">IF(G14=0,"",D14/C14-1)</f>
        <v/>
      </c>
      <c r="G14" s="5" t="n">
        <f aca="false">COUNTIFS('Monthly tracking'!$A$5:$A$124,A14,'Monthly tracking'!$D$5:$D$124,"&lt;&gt;")</f>
        <v>0</v>
      </c>
    </row>
    <row r="15" customFormat="false" ht="15" hidden="false" customHeight="false" outlineLevel="0" collapsed="false">
      <c r="A15" s="9" t="s">
        <v>33</v>
      </c>
      <c r="B15" s="10" t="n">
        <f aca="false">SUM(B5:B14)</f>
        <v>32192333.37</v>
      </c>
      <c r="C15" s="10" t="n">
        <f aca="false">SUM(C5:C14)</f>
        <v>0</v>
      </c>
      <c r="D15" s="10" t="n">
        <f aca="false">SUM(D5:D14)</f>
        <v>0</v>
      </c>
      <c r="E15" s="10" t="str">
        <f aca="false">IF(D15=0,"",D15-C15)</f>
        <v/>
      </c>
      <c r="F15" s="11" t="str">
        <f aca="false">IF(D15=0,"",D15/C15-1)</f>
        <v/>
      </c>
      <c r="G1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13" min="9" style="0" width="13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12" t="s">
        <v>2</v>
      </c>
      <c r="B4" s="12" t="s">
        <v>44</v>
      </c>
      <c r="C4" s="12" t="s">
        <v>45</v>
      </c>
      <c r="D4" s="12" t="s">
        <v>46</v>
      </c>
      <c r="E4" s="12" t="s">
        <v>39</v>
      </c>
      <c r="F4" s="12" t="s">
        <v>40</v>
      </c>
      <c r="H4" s="15" t="s">
        <v>47</v>
      </c>
    </row>
    <row r="5" customFormat="false" ht="15" hidden="false" customHeight="false" outlineLevel="0" collapsed="false">
      <c r="A5" s="5" t="s">
        <v>22</v>
      </c>
      <c r="B5" s="5" t="s">
        <v>3</v>
      </c>
      <c r="C5" s="13" t="n">
        <f aca="false">'Targets 2027'!B5</f>
        <v>240335.44</v>
      </c>
      <c r="D5" s="16"/>
      <c r="E5" s="7" t="str">
        <f aca="false">IF(D5="","",D5-C5)</f>
        <v/>
      </c>
      <c r="F5" s="8" t="str">
        <f aca="false">IF(D5="","",D5/C5-1)</f>
        <v/>
      </c>
      <c r="H5" s="5" t="s">
        <v>48</v>
      </c>
    </row>
    <row r="6" customFormat="false" ht="15" hidden="false" customHeight="false" outlineLevel="0" collapsed="false">
      <c r="A6" s="5" t="s">
        <v>22</v>
      </c>
      <c r="B6" s="5" t="s">
        <v>4</v>
      </c>
      <c r="C6" s="13" t="n">
        <f aca="false">'Targets 2027'!C5</f>
        <v>232184.11</v>
      </c>
      <c r="D6" s="16"/>
      <c r="E6" s="7" t="str">
        <f aca="false">IF(D6="","",D6-C6)</f>
        <v/>
      </c>
      <c r="F6" s="8" t="str">
        <f aca="false">IF(D6="","",D6/C6-1)</f>
        <v/>
      </c>
      <c r="H6" s="5" t="s">
        <v>49</v>
      </c>
    </row>
    <row r="7" customFormat="false" ht="15" hidden="false" customHeight="false" outlineLevel="0" collapsed="false">
      <c r="A7" s="5" t="s">
        <v>22</v>
      </c>
      <c r="B7" s="5" t="s">
        <v>5</v>
      </c>
      <c r="C7" s="13" t="n">
        <f aca="false">'Targets 2027'!D5</f>
        <v>257387.11</v>
      </c>
      <c r="D7" s="16"/>
      <c r="E7" s="7" t="str">
        <f aca="false">IF(D7="","",D7-C7)</f>
        <v/>
      </c>
      <c r="F7" s="8" t="str">
        <f aca="false">IF(D7="","",D7/C7-1)</f>
        <v/>
      </c>
      <c r="H7" s="5" t="s">
        <v>50</v>
      </c>
    </row>
    <row r="8" customFormat="false" ht="15" hidden="false" customHeight="false" outlineLevel="0" collapsed="false">
      <c r="A8" s="5" t="s">
        <v>22</v>
      </c>
      <c r="B8" s="5" t="s">
        <v>6</v>
      </c>
      <c r="C8" s="13" t="n">
        <f aca="false">'Targets 2027'!E5</f>
        <v>248190.77</v>
      </c>
      <c r="D8" s="16"/>
      <c r="E8" s="7" t="str">
        <f aca="false">IF(D8="","",D8-C8)</f>
        <v/>
      </c>
      <c r="F8" s="8" t="str">
        <f aca="false">IF(D8="","",D8/C8-1)</f>
        <v/>
      </c>
      <c r="H8" s="5" t="s">
        <v>51</v>
      </c>
    </row>
    <row r="9" customFormat="false" ht="15" hidden="false" customHeight="false" outlineLevel="0" collapsed="false">
      <c r="A9" s="5" t="s">
        <v>22</v>
      </c>
      <c r="B9" s="5" t="s">
        <v>7</v>
      </c>
      <c r="C9" s="13" t="n">
        <f aca="false">'Targets 2027'!F5</f>
        <v>272444.59</v>
      </c>
      <c r="D9" s="16"/>
      <c r="E9" s="7" t="str">
        <f aca="false">IF(D9="","",D9-C9)</f>
        <v/>
      </c>
      <c r="F9" s="8" t="str">
        <f aca="false">IF(D9="","",D9/C9-1)</f>
        <v/>
      </c>
    </row>
    <row r="10" customFormat="false" ht="15" hidden="false" customHeight="false" outlineLevel="0" collapsed="false">
      <c r="A10" s="5" t="s">
        <v>22</v>
      </c>
      <c r="B10" s="5" t="s">
        <v>8</v>
      </c>
      <c r="C10" s="13" t="n">
        <f aca="false">'Targets 2027'!G5</f>
        <v>263775.07</v>
      </c>
      <c r="D10" s="16"/>
      <c r="E10" s="7" t="str">
        <f aca="false">IF(D10="","",D10-C10)</f>
        <v/>
      </c>
      <c r="F10" s="8" t="str">
        <f aca="false">IF(D10="","",D10/C10-1)</f>
        <v/>
      </c>
      <c r="H10" s="15" t="s">
        <v>52</v>
      </c>
    </row>
    <row r="11" customFormat="false" ht="15" hidden="false" customHeight="false" outlineLevel="0" collapsed="false">
      <c r="A11" s="5" t="s">
        <v>22</v>
      </c>
      <c r="B11" s="5" t="s">
        <v>9</v>
      </c>
      <c r="C11" s="13" t="n">
        <f aca="false">'Targets 2027'!H5</f>
        <v>269201.25</v>
      </c>
      <c r="D11" s="16"/>
      <c r="E11" s="7" t="str">
        <f aca="false">IF(D11="","",D11-C11)</f>
        <v/>
      </c>
      <c r="F11" s="8" t="str">
        <f aca="false">IF(D11="","",D11/C11-1)</f>
        <v/>
      </c>
      <c r="H11" s="12" t="s">
        <v>2</v>
      </c>
      <c r="I11" s="12" t="s">
        <v>44</v>
      </c>
      <c r="J11" s="12" t="s">
        <v>45</v>
      </c>
      <c r="K11" s="12" t="s">
        <v>46</v>
      </c>
      <c r="L11" s="12" t="s">
        <v>39</v>
      </c>
      <c r="M11" s="12" t="s">
        <v>40</v>
      </c>
    </row>
    <row r="12" customFormat="false" ht="15" hidden="false" customHeight="false" outlineLevel="0" collapsed="false">
      <c r="A12" s="5" t="s">
        <v>22</v>
      </c>
      <c r="B12" s="5" t="s">
        <v>10</v>
      </c>
      <c r="C12" s="13" t="n">
        <f aca="false">'Targets 2027'!I5</f>
        <v>281751.13</v>
      </c>
      <c r="D12" s="16"/>
      <c r="E12" s="7" t="str">
        <f aca="false">IF(D12="","",D12-C12)</f>
        <v/>
      </c>
      <c r="F12" s="8" t="str">
        <f aca="false">IF(D12="","",D12/C12-1)</f>
        <v/>
      </c>
      <c r="H12" s="2" t="s">
        <v>22</v>
      </c>
      <c r="I12" s="2" t="s">
        <v>3</v>
      </c>
      <c r="J12" s="13" t="n">
        <f aca="false">C5</f>
        <v>240335.44</v>
      </c>
      <c r="K12" s="16" t="n">
        <v>245000</v>
      </c>
      <c r="L12" s="7" t="n">
        <f aca="false">IF(K12="","",K12-J12)</f>
        <v>4664.56</v>
      </c>
      <c r="M12" s="8" t="n">
        <f aca="false">IF(K12="","",K12/J12-1)</f>
        <v>0.0194085399972639</v>
      </c>
    </row>
    <row r="13" customFormat="false" ht="15" hidden="false" customHeight="false" outlineLevel="0" collapsed="false">
      <c r="A13" s="5" t="s">
        <v>22</v>
      </c>
      <c r="B13" s="5" t="s">
        <v>11</v>
      </c>
      <c r="C13" s="13" t="n">
        <f aca="false">'Targets 2027'!J5</f>
        <v>256443.1</v>
      </c>
      <c r="D13" s="16"/>
      <c r="E13" s="7" t="str">
        <f aca="false">IF(D13="","",D13-C13)</f>
        <v/>
      </c>
      <c r="F13" s="8" t="str">
        <f aca="false">IF(D13="","",D13/C13-1)</f>
        <v/>
      </c>
    </row>
    <row r="14" customFormat="false" ht="15" hidden="false" customHeight="false" outlineLevel="0" collapsed="false">
      <c r="A14" s="5" t="s">
        <v>22</v>
      </c>
      <c r="B14" s="5" t="s">
        <v>12</v>
      </c>
      <c r="C14" s="13" t="n">
        <f aca="false">'Targets 2027'!K5</f>
        <v>265311.55</v>
      </c>
      <c r="D14" s="16"/>
      <c r="E14" s="7" t="str">
        <f aca="false">IF(D14="","",D14-C14)</f>
        <v/>
      </c>
      <c r="F14" s="8" t="str">
        <f aca="false">IF(D14="","",D14/C14-1)</f>
        <v/>
      </c>
    </row>
    <row r="15" customFormat="false" ht="15" hidden="false" customHeight="false" outlineLevel="0" collapsed="false">
      <c r="A15" s="5" t="s">
        <v>22</v>
      </c>
      <c r="B15" s="5" t="s">
        <v>13</v>
      </c>
      <c r="C15" s="13" t="n">
        <f aca="false">'Targets 2027'!L5</f>
        <v>266803.98</v>
      </c>
      <c r="D15" s="16"/>
      <c r="E15" s="7" t="str">
        <f aca="false">IF(D15="","",D15-C15)</f>
        <v/>
      </c>
      <c r="F15" s="8" t="str">
        <f aca="false">IF(D15="","",D15/C15-1)</f>
        <v/>
      </c>
    </row>
    <row r="16" customFormat="false" ht="15" hidden="false" customHeight="false" outlineLevel="0" collapsed="false">
      <c r="A16" s="5" t="s">
        <v>22</v>
      </c>
      <c r="B16" s="5" t="s">
        <v>14</v>
      </c>
      <c r="C16" s="13" t="n">
        <f aca="false">'Targets 2027'!M5</f>
        <v>265578.91</v>
      </c>
      <c r="D16" s="16"/>
      <c r="E16" s="7" t="str">
        <f aca="false">IF(D16="","",D16-C16)</f>
        <v/>
      </c>
      <c r="F16" s="8" t="str">
        <f aca="false">IF(D16="","",D16/C16-1)</f>
        <v/>
      </c>
    </row>
    <row r="17" customFormat="false" ht="15" hidden="false" customHeight="false" outlineLevel="0" collapsed="false">
      <c r="A17" s="5" t="s">
        <v>23</v>
      </c>
      <c r="B17" s="5" t="s">
        <v>3</v>
      </c>
      <c r="C17" s="13" t="n">
        <f aca="false">'Targets 2027'!B6</f>
        <v>227289.23</v>
      </c>
      <c r="D17" s="16"/>
      <c r="E17" s="7" t="str">
        <f aca="false">IF(D17="","",D17-C17)</f>
        <v/>
      </c>
      <c r="F17" s="8" t="str">
        <f aca="false">IF(D17="","",D17/C17-1)</f>
        <v/>
      </c>
    </row>
    <row r="18" customFormat="false" ht="15" hidden="false" customHeight="false" outlineLevel="0" collapsed="false">
      <c r="A18" s="5" t="s">
        <v>23</v>
      </c>
      <c r="B18" s="5" t="s">
        <v>4</v>
      </c>
      <c r="C18" s="13" t="n">
        <f aca="false">'Targets 2027'!C6</f>
        <v>203905.78</v>
      </c>
      <c r="D18" s="16"/>
      <c r="E18" s="7" t="str">
        <f aca="false">IF(D18="","",D18-C18)</f>
        <v/>
      </c>
      <c r="F18" s="8" t="str">
        <f aca="false">IF(D18="","",D18/C18-1)</f>
        <v/>
      </c>
    </row>
    <row r="19" customFormat="false" ht="15" hidden="false" customHeight="false" outlineLevel="0" collapsed="false">
      <c r="A19" s="5" t="s">
        <v>23</v>
      </c>
      <c r="B19" s="5" t="s">
        <v>5</v>
      </c>
      <c r="C19" s="13" t="n">
        <f aca="false">'Targets 2027'!D6</f>
        <v>222438.88</v>
      </c>
      <c r="D19" s="16"/>
      <c r="E19" s="7" t="str">
        <f aca="false">IF(D19="","",D19-C19)</f>
        <v/>
      </c>
      <c r="F19" s="8" t="str">
        <f aca="false">IF(D19="","",D19/C19-1)</f>
        <v/>
      </c>
    </row>
    <row r="20" customFormat="false" ht="15" hidden="false" customHeight="false" outlineLevel="0" collapsed="false">
      <c r="A20" s="5" t="s">
        <v>23</v>
      </c>
      <c r="B20" s="5" t="s">
        <v>6</v>
      </c>
      <c r="C20" s="13" t="n">
        <f aca="false">'Targets 2027'!E6</f>
        <v>214066.03</v>
      </c>
      <c r="D20" s="16"/>
      <c r="E20" s="7" t="str">
        <f aca="false">IF(D20="","",D20-C20)</f>
        <v/>
      </c>
      <c r="F20" s="8" t="str">
        <f aca="false">IF(D20="","",D20/C20-1)</f>
        <v/>
      </c>
    </row>
    <row r="21" customFormat="false" ht="15" hidden="false" customHeight="false" outlineLevel="0" collapsed="false">
      <c r="A21" s="5" t="s">
        <v>23</v>
      </c>
      <c r="B21" s="5" t="s">
        <v>7</v>
      </c>
      <c r="C21" s="13" t="n">
        <f aca="false">'Targets 2027'!F6</f>
        <v>230110.53</v>
      </c>
      <c r="D21" s="16"/>
      <c r="E21" s="7" t="str">
        <f aca="false">IF(D21="","",D21-C21)</f>
        <v/>
      </c>
      <c r="F21" s="8" t="str">
        <f aca="false">IF(D21="","",D21/C21-1)</f>
        <v/>
      </c>
    </row>
    <row r="22" customFormat="false" ht="15" hidden="false" customHeight="false" outlineLevel="0" collapsed="false">
      <c r="A22" s="5" t="s">
        <v>23</v>
      </c>
      <c r="B22" s="5" t="s">
        <v>8</v>
      </c>
      <c r="C22" s="13" t="n">
        <f aca="false">'Targets 2027'!G6</f>
        <v>204562.27</v>
      </c>
      <c r="D22" s="16"/>
      <c r="E22" s="7" t="str">
        <f aca="false">IF(D22="","",D22-C22)</f>
        <v/>
      </c>
      <c r="F22" s="8" t="str">
        <f aca="false">IF(D22="","",D22/C22-1)</f>
        <v/>
      </c>
    </row>
    <row r="23" customFormat="false" ht="15" hidden="false" customHeight="false" outlineLevel="0" collapsed="false">
      <c r="A23" s="5" t="s">
        <v>23</v>
      </c>
      <c r="B23" s="5" t="s">
        <v>9</v>
      </c>
      <c r="C23" s="13" t="n">
        <f aca="false">'Targets 2027'!H6</f>
        <v>205433.25</v>
      </c>
      <c r="D23" s="16"/>
      <c r="E23" s="7" t="str">
        <f aca="false">IF(D23="","",D23-C23)</f>
        <v/>
      </c>
      <c r="F23" s="8" t="str">
        <f aca="false">IF(D23="","",D23/C23-1)</f>
        <v/>
      </c>
    </row>
    <row r="24" customFormat="false" ht="15" hidden="false" customHeight="false" outlineLevel="0" collapsed="false">
      <c r="A24" s="5" t="s">
        <v>23</v>
      </c>
      <c r="B24" s="5" t="s">
        <v>10</v>
      </c>
      <c r="C24" s="13" t="n">
        <f aca="false">'Targets 2027'!I6</f>
        <v>216074.01</v>
      </c>
      <c r="D24" s="16"/>
      <c r="E24" s="7" t="str">
        <f aca="false">IF(D24="","",D24-C24)</f>
        <v/>
      </c>
      <c r="F24" s="8" t="str">
        <f aca="false">IF(D24="","",D24/C24-1)</f>
        <v/>
      </c>
    </row>
    <row r="25" customFormat="false" ht="15" hidden="false" customHeight="false" outlineLevel="0" collapsed="false">
      <c r="A25" s="5" t="s">
        <v>23</v>
      </c>
      <c r="B25" s="5" t="s">
        <v>11</v>
      </c>
      <c r="C25" s="13" t="n">
        <f aca="false">'Targets 2027'!J6</f>
        <v>215120.82</v>
      </c>
      <c r="D25" s="16"/>
      <c r="E25" s="7" t="str">
        <f aca="false">IF(D25="","",D25-C25)</f>
        <v/>
      </c>
      <c r="F25" s="8" t="str">
        <f aca="false">IF(D25="","",D25/C25-1)</f>
        <v/>
      </c>
    </row>
    <row r="26" customFormat="false" ht="15" hidden="false" customHeight="false" outlineLevel="0" collapsed="false">
      <c r="A26" s="5" t="s">
        <v>23</v>
      </c>
      <c r="B26" s="5" t="s">
        <v>12</v>
      </c>
      <c r="C26" s="13" t="n">
        <f aca="false">'Targets 2027'!K6</f>
        <v>238271.16</v>
      </c>
      <c r="D26" s="16"/>
      <c r="E26" s="7" t="str">
        <f aca="false">IF(D26="","",D26-C26)</f>
        <v/>
      </c>
      <c r="F26" s="8" t="str">
        <f aca="false">IF(D26="","",D26/C26-1)</f>
        <v/>
      </c>
    </row>
    <row r="27" customFormat="false" ht="15" hidden="false" customHeight="false" outlineLevel="0" collapsed="false">
      <c r="A27" s="5" t="s">
        <v>23</v>
      </c>
      <c r="B27" s="5" t="s">
        <v>13</v>
      </c>
      <c r="C27" s="13" t="n">
        <f aca="false">'Targets 2027'!L6</f>
        <v>237928.07</v>
      </c>
      <c r="D27" s="16"/>
      <c r="E27" s="7" t="str">
        <f aca="false">IF(D27="","",D27-C27)</f>
        <v/>
      </c>
      <c r="F27" s="8" t="str">
        <f aca="false">IF(D27="","",D27/C27-1)</f>
        <v/>
      </c>
    </row>
    <row r="28" customFormat="false" ht="15" hidden="false" customHeight="false" outlineLevel="0" collapsed="false">
      <c r="A28" s="5" t="s">
        <v>23</v>
      </c>
      <c r="B28" s="5" t="s">
        <v>14</v>
      </c>
      <c r="C28" s="13" t="n">
        <f aca="false">'Targets 2027'!M6</f>
        <v>226464.41</v>
      </c>
      <c r="D28" s="16"/>
      <c r="E28" s="7" t="str">
        <f aca="false">IF(D28="","",D28-C28)</f>
        <v/>
      </c>
      <c r="F28" s="8" t="str">
        <f aca="false">IF(D28="","",D28/C28-1)</f>
        <v/>
      </c>
    </row>
    <row r="29" customFormat="false" ht="15" hidden="false" customHeight="false" outlineLevel="0" collapsed="false">
      <c r="A29" s="5" t="s">
        <v>24</v>
      </c>
      <c r="B29" s="5" t="s">
        <v>3</v>
      </c>
      <c r="C29" s="13" t="n">
        <f aca="false">'Targets 2027'!B7</f>
        <v>347155.87</v>
      </c>
      <c r="D29" s="16"/>
      <c r="E29" s="7" t="str">
        <f aca="false">IF(D29="","",D29-C29)</f>
        <v/>
      </c>
      <c r="F29" s="8" t="str">
        <f aca="false">IF(D29="","",D29/C29-1)</f>
        <v/>
      </c>
    </row>
    <row r="30" customFormat="false" ht="15" hidden="false" customHeight="false" outlineLevel="0" collapsed="false">
      <c r="A30" s="5" t="s">
        <v>24</v>
      </c>
      <c r="B30" s="5" t="s">
        <v>4</v>
      </c>
      <c r="C30" s="13" t="n">
        <f aca="false">'Targets 2027'!C7</f>
        <v>303859.01</v>
      </c>
      <c r="D30" s="16"/>
      <c r="E30" s="7" t="str">
        <f aca="false">IF(D30="","",D30-C30)</f>
        <v/>
      </c>
      <c r="F30" s="8" t="str">
        <f aca="false">IF(D30="","",D30/C30-1)</f>
        <v/>
      </c>
    </row>
    <row r="31" customFormat="false" ht="15" hidden="false" customHeight="false" outlineLevel="0" collapsed="false">
      <c r="A31" s="5" t="s">
        <v>24</v>
      </c>
      <c r="B31" s="5" t="s">
        <v>5</v>
      </c>
      <c r="C31" s="13" t="n">
        <f aca="false">'Targets 2027'!D7</f>
        <v>350055.72</v>
      </c>
      <c r="D31" s="16"/>
      <c r="E31" s="7" t="str">
        <f aca="false">IF(D31="","",D31-C31)</f>
        <v/>
      </c>
      <c r="F31" s="8" t="str">
        <f aca="false">IF(D31="","",D31/C31-1)</f>
        <v/>
      </c>
    </row>
    <row r="32" customFormat="false" ht="15" hidden="false" customHeight="false" outlineLevel="0" collapsed="false">
      <c r="A32" s="5" t="s">
        <v>24</v>
      </c>
      <c r="B32" s="5" t="s">
        <v>6</v>
      </c>
      <c r="C32" s="13" t="n">
        <f aca="false">'Targets 2027'!E7</f>
        <v>355295.68</v>
      </c>
      <c r="D32" s="16"/>
      <c r="E32" s="7" t="str">
        <f aca="false">IF(D32="","",D32-C32)</f>
        <v/>
      </c>
      <c r="F32" s="8" t="str">
        <f aca="false">IF(D32="","",D32/C32-1)</f>
        <v/>
      </c>
    </row>
    <row r="33" customFormat="false" ht="15" hidden="false" customHeight="false" outlineLevel="0" collapsed="false">
      <c r="A33" s="5" t="s">
        <v>24</v>
      </c>
      <c r="B33" s="5" t="s">
        <v>7</v>
      </c>
      <c r="C33" s="13" t="n">
        <f aca="false">'Targets 2027'!F7</f>
        <v>381551.8</v>
      </c>
      <c r="D33" s="16"/>
      <c r="E33" s="7" t="str">
        <f aca="false">IF(D33="","",D33-C33)</f>
        <v/>
      </c>
      <c r="F33" s="8" t="str">
        <f aca="false">IF(D33="","",D33/C33-1)</f>
        <v/>
      </c>
    </row>
    <row r="34" customFormat="false" ht="15" hidden="false" customHeight="false" outlineLevel="0" collapsed="false">
      <c r="A34" s="5" t="s">
        <v>24</v>
      </c>
      <c r="B34" s="5" t="s">
        <v>8</v>
      </c>
      <c r="C34" s="13" t="n">
        <f aca="false">'Targets 2027'!G7</f>
        <v>347223.39</v>
      </c>
      <c r="D34" s="16"/>
      <c r="E34" s="7" t="str">
        <f aca="false">IF(D34="","",D34-C34)</f>
        <v/>
      </c>
      <c r="F34" s="8" t="str">
        <f aca="false">IF(D34="","",D34/C34-1)</f>
        <v/>
      </c>
    </row>
    <row r="35" customFormat="false" ht="15" hidden="false" customHeight="false" outlineLevel="0" collapsed="false">
      <c r="A35" s="5" t="s">
        <v>24</v>
      </c>
      <c r="B35" s="5" t="s">
        <v>9</v>
      </c>
      <c r="C35" s="13" t="n">
        <f aca="false">'Targets 2027'!H7</f>
        <v>370112.79</v>
      </c>
      <c r="D35" s="16"/>
      <c r="E35" s="7" t="str">
        <f aca="false">IF(D35="","",D35-C35)</f>
        <v/>
      </c>
      <c r="F35" s="8" t="str">
        <f aca="false">IF(D35="","",D35/C35-1)</f>
        <v/>
      </c>
    </row>
    <row r="36" customFormat="false" ht="15" hidden="false" customHeight="false" outlineLevel="0" collapsed="false">
      <c r="A36" s="5" t="s">
        <v>24</v>
      </c>
      <c r="B36" s="5" t="s">
        <v>10</v>
      </c>
      <c r="C36" s="13" t="n">
        <f aca="false">'Targets 2027'!I7</f>
        <v>362058.09</v>
      </c>
      <c r="D36" s="16"/>
      <c r="E36" s="7" t="str">
        <f aca="false">IF(D36="","",D36-C36)</f>
        <v/>
      </c>
      <c r="F36" s="8" t="str">
        <f aca="false">IF(D36="","",D36/C36-1)</f>
        <v/>
      </c>
    </row>
    <row r="37" customFormat="false" ht="15" hidden="false" customHeight="false" outlineLevel="0" collapsed="false">
      <c r="A37" s="5" t="s">
        <v>24</v>
      </c>
      <c r="B37" s="5" t="s">
        <v>11</v>
      </c>
      <c r="C37" s="13" t="n">
        <f aca="false">'Targets 2027'!J7</f>
        <v>325338.38</v>
      </c>
      <c r="D37" s="16"/>
      <c r="E37" s="7" t="str">
        <f aca="false">IF(D37="","",D37-C37)</f>
        <v/>
      </c>
      <c r="F37" s="8" t="str">
        <f aca="false">IF(D37="","",D37/C37-1)</f>
        <v/>
      </c>
    </row>
    <row r="38" customFormat="false" ht="15" hidden="false" customHeight="false" outlineLevel="0" collapsed="false">
      <c r="A38" s="5" t="s">
        <v>24</v>
      </c>
      <c r="B38" s="5" t="s">
        <v>12</v>
      </c>
      <c r="C38" s="13" t="n">
        <f aca="false">'Targets 2027'!K7</f>
        <v>343803.24</v>
      </c>
      <c r="D38" s="16"/>
      <c r="E38" s="7" t="str">
        <f aca="false">IF(D38="","",D38-C38)</f>
        <v/>
      </c>
      <c r="F38" s="8" t="str">
        <f aca="false">IF(D38="","",D38/C38-1)</f>
        <v/>
      </c>
    </row>
    <row r="39" customFormat="false" ht="15" hidden="false" customHeight="false" outlineLevel="0" collapsed="false">
      <c r="A39" s="5" t="s">
        <v>24</v>
      </c>
      <c r="B39" s="5" t="s">
        <v>13</v>
      </c>
      <c r="C39" s="13" t="n">
        <f aca="false">'Targets 2027'!L7</f>
        <v>356440.28</v>
      </c>
      <c r="D39" s="16"/>
      <c r="E39" s="7" t="str">
        <f aca="false">IF(D39="","",D39-C39)</f>
        <v/>
      </c>
      <c r="F39" s="8" t="str">
        <f aca="false">IF(D39="","",D39/C39-1)</f>
        <v/>
      </c>
    </row>
    <row r="40" customFormat="false" ht="15" hidden="false" customHeight="false" outlineLevel="0" collapsed="false">
      <c r="A40" s="5" t="s">
        <v>24</v>
      </c>
      <c r="B40" s="5" t="s">
        <v>14</v>
      </c>
      <c r="C40" s="13" t="n">
        <f aca="false">'Targets 2027'!M7</f>
        <v>390772.6</v>
      </c>
      <c r="D40" s="16"/>
      <c r="E40" s="7" t="str">
        <f aca="false">IF(D40="","",D40-C40)</f>
        <v/>
      </c>
      <c r="F40" s="8" t="str">
        <f aca="false">IF(D40="","",D40/C40-1)</f>
        <v/>
      </c>
    </row>
    <row r="41" customFormat="false" ht="15" hidden="false" customHeight="false" outlineLevel="0" collapsed="false">
      <c r="A41" s="5" t="s">
        <v>25</v>
      </c>
      <c r="B41" s="5" t="s">
        <v>3</v>
      </c>
      <c r="C41" s="13" t="n">
        <f aca="false">'Targets 2027'!B8</f>
        <v>312399.46</v>
      </c>
      <c r="D41" s="16"/>
      <c r="E41" s="7" t="str">
        <f aca="false">IF(D41="","",D41-C41)</f>
        <v/>
      </c>
      <c r="F41" s="8" t="str">
        <f aca="false">IF(D41="","",D41/C41-1)</f>
        <v/>
      </c>
    </row>
    <row r="42" customFormat="false" ht="15" hidden="false" customHeight="false" outlineLevel="0" collapsed="false">
      <c r="A42" s="5" t="s">
        <v>25</v>
      </c>
      <c r="B42" s="5" t="s">
        <v>4</v>
      </c>
      <c r="C42" s="13" t="n">
        <f aca="false">'Targets 2027'!C8</f>
        <v>281595.6</v>
      </c>
      <c r="D42" s="16"/>
      <c r="E42" s="7" t="str">
        <f aca="false">IF(D42="","",D42-C42)</f>
        <v/>
      </c>
      <c r="F42" s="8" t="str">
        <f aca="false">IF(D42="","",D42/C42-1)</f>
        <v/>
      </c>
    </row>
    <row r="43" customFormat="false" ht="15" hidden="false" customHeight="false" outlineLevel="0" collapsed="false">
      <c r="A43" s="5" t="s">
        <v>25</v>
      </c>
      <c r="B43" s="5" t="s">
        <v>5</v>
      </c>
      <c r="C43" s="13" t="n">
        <f aca="false">'Targets 2027'!D8</f>
        <v>362333.45</v>
      </c>
      <c r="D43" s="16"/>
      <c r="E43" s="7" t="str">
        <f aca="false">IF(D43="","",D43-C43)</f>
        <v/>
      </c>
      <c r="F43" s="8" t="str">
        <f aca="false">IF(D43="","",D43/C43-1)</f>
        <v/>
      </c>
    </row>
    <row r="44" customFormat="false" ht="15" hidden="false" customHeight="false" outlineLevel="0" collapsed="false">
      <c r="A44" s="5" t="s">
        <v>25</v>
      </c>
      <c r="B44" s="5" t="s">
        <v>6</v>
      </c>
      <c r="C44" s="13" t="n">
        <f aca="false">'Targets 2027'!E8</f>
        <v>356921.7</v>
      </c>
      <c r="D44" s="16"/>
      <c r="E44" s="7" t="str">
        <f aca="false">IF(D44="","",D44-C44)</f>
        <v/>
      </c>
      <c r="F44" s="8" t="str">
        <f aca="false">IF(D44="","",D44/C44-1)</f>
        <v/>
      </c>
    </row>
    <row r="45" customFormat="false" ht="15" hidden="false" customHeight="false" outlineLevel="0" collapsed="false">
      <c r="A45" s="5" t="s">
        <v>25</v>
      </c>
      <c r="B45" s="5" t="s">
        <v>7</v>
      </c>
      <c r="C45" s="13" t="n">
        <f aca="false">'Targets 2027'!F8</f>
        <v>376891.75</v>
      </c>
      <c r="D45" s="16"/>
      <c r="E45" s="7" t="str">
        <f aca="false">IF(D45="","",D45-C45)</f>
        <v/>
      </c>
      <c r="F45" s="8" t="str">
        <f aca="false">IF(D45="","",D45/C45-1)</f>
        <v/>
      </c>
    </row>
    <row r="46" customFormat="false" ht="15" hidden="false" customHeight="false" outlineLevel="0" collapsed="false">
      <c r="A46" s="5" t="s">
        <v>25</v>
      </c>
      <c r="B46" s="5" t="s">
        <v>8</v>
      </c>
      <c r="C46" s="13" t="n">
        <f aca="false">'Targets 2027'!G8</f>
        <v>378275.27</v>
      </c>
      <c r="D46" s="16"/>
      <c r="E46" s="7" t="str">
        <f aca="false">IF(D46="","",D46-C46)</f>
        <v/>
      </c>
      <c r="F46" s="8" t="str">
        <f aca="false">IF(D46="","",D46/C46-1)</f>
        <v/>
      </c>
    </row>
    <row r="47" customFormat="false" ht="15" hidden="false" customHeight="false" outlineLevel="0" collapsed="false">
      <c r="A47" s="5" t="s">
        <v>25</v>
      </c>
      <c r="B47" s="5" t="s">
        <v>9</v>
      </c>
      <c r="C47" s="13" t="n">
        <f aca="false">'Targets 2027'!H8</f>
        <v>516508.85</v>
      </c>
      <c r="D47" s="16"/>
      <c r="E47" s="7" t="str">
        <f aca="false">IF(D47="","",D47-C47)</f>
        <v/>
      </c>
      <c r="F47" s="8" t="str">
        <f aca="false">IF(D47="","",D47/C47-1)</f>
        <v/>
      </c>
    </row>
    <row r="48" customFormat="false" ht="15" hidden="false" customHeight="false" outlineLevel="0" collapsed="false">
      <c r="A48" s="5" t="s">
        <v>25</v>
      </c>
      <c r="B48" s="5" t="s">
        <v>10</v>
      </c>
      <c r="C48" s="13" t="n">
        <f aca="false">'Targets 2027'!I8</f>
        <v>427274.35</v>
      </c>
      <c r="D48" s="16"/>
      <c r="E48" s="7" t="str">
        <f aca="false">IF(D48="","",D48-C48)</f>
        <v/>
      </c>
      <c r="F48" s="8" t="str">
        <f aca="false">IF(D48="","",D48/C48-1)</f>
        <v/>
      </c>
    </row>
    <row r="49" customFormat="false" ht="15" hidden="false" customHeight="false" outlineLevel="0" collapsed="false">
      <c r="A49" s="5" t="s">
        <v>25</v>
      </c>
      <c r="B49" s="5" t="s">
        <v>11</v>
      </c>
      <c r="C49" s="13" t="n">
        <f aca="false">'Targets 2027'!J8</f>
        <v>310518.86</v>
      </c>
      <c r="D49" s="16"/>
      <c r="E49" s="7" t="str">
        <f aca="false">IF(D49="","",D49-C49)</f>
        <v/>
      </c>
      <c r="F49" s="8" t="str">
        <f aca="false">IF(D49="","",D49/C49-1)</f>
        <v/>
      </c>
    </row>
    <row r="50" customFormat="false" ht="15" hidden="false" customHeight="false" outlineLevel="0" collapsed="false">
      <c r="A50" s="5" t="s">
        <v>25</v>
      </c>
      <c r="B50" s="5" t="s">
        <v>12</v>
      </c>
      <c r="C50" s="13" t="n">
        <f aca="false">'Targets 2027'!K8</f>
        <v>327674.08</v>
      </c>
      <c r="D50" s="16"/>
      <c r="E50" s="7" t="str">
        <f aca="false">IF(D50="","",D50-C50)</f>
        <v/>
      </c>
      <c r="F50" s="8" t="str">
        <f aca="false">IF(D50="","",D50/C50-1)</f>
        <v/>
      </c>
    </row>
    <row r="51" customFormat="false" ht="15" hidden="false" customHeight="false" outlineLevel="0" collapsed="false">
      <c r="A51" s="5" t="s">
        <v>25</v>
      </c>
      <c r="B51" s="5" t="s">
        <v>13</v>
      </c>
      <c r="C51" s="13" t="n">
        <f aca="false">'Targets 2027'!L8</f>
        <v>306577.59</v>
      </c>
      <c r="D51" s="16"/>
      <c r="E51" s="7" t="str">
        <f aca="false">IF(D51="","",D51-C51)</f>
        <v/>
      </c>
      <c r="F51" s="8" t="str">
        <f aca="false">IF(D51="","",D51/C51-1)</f>
        <v/>
      </c>
    </row>
    <row r="52" customFormat="false" ht="15" hidden="false" customHeight="false" outlineLevel="0" collapsed="false">
      <c r="A52" s="5" t="s">
        <v>25</v>
      </c>
      <c r="B52" s="5" t="s">
        <v>14</v>
      </c>
      <c r="C52" s="13" t="n">
        <f aca="false">'Targets 2027'!M8</f>
        <v>350719.75</v>
      </c>
      <c r="D52" s="16"/>
      <c r="E52" s="7" t="str">
        <f aca="false">IF(D52="","",D52-C52)</f>
        <v/>
      </c>
      <c r="F52" s="8" t="str">
        <f aca="false">IF(D52="","",D52/C52-1)</f>
        <v/>
      </c>
    </row>
    <row r="53" customFormat="false" ht="15" hidden="false" customHeight="false" outlineLevel="0" collapsed="false">
      <c r="A53" s="5" t="s">
        <v>26</v>
      </c>
      <c r="B53" s="5" t="s">
        <v>3</v>
      </c>
      <c r="C53" s="13" t="n">
        <f aca="false">'Targets 2027'!B9</f>
        <v>430949.59</v>
      </c>
      <c r="D53" s="16"/>
      <c r="E53" s="7" t="str">
        <f aca="false">IF(D53="","",D53-C53)</f>
        <v/>
      </c>
      <c r="F53" s="8" t="str">
        <f aca="false">IF(D53="","",D53/C53-1)</f>
        <v/>
      </c>
    </row>
    <row r="54" customFormat="false" ht="15" hidden="false" customHeight="false" outlineLevel="0" collapsed="false">
      <c r="A54" s="5" t="s">
        <v>26</v>
      </c>
      <c r="B54" s="5" t="s">
        <v>4</v>
      </c>
      <c r="C54" s="13" t="n">
        <f aca="false">'Targets 2027'!C9</f>
        <v>383310.31</v>
      </c>
      <c r="D54" s="16"/>
      <c r="E54" s="7" t="str">
        <f aca="false">IF(D54="","",D54-C54)</f>
        <v/>
      </c>
      <c r="F54" s="8" t="str">
        <f aca="false">IF(D54="","",D54/C54-1)</f>
        <v/>
      </c>
    </row>
    <row r="55" customFormat="false" ht="15" hidden="false" customHeight="false" outlineLevel="0" collapsed="false">
      <c r="A55" s="5" t="s">
        <v>26</v>
      </c>
      <c r="B55" s="5" t="s">
        <v>5</v>
      </c>
      <c r="C55" s="13" t="n">
        <f aca="false">'Targets 2027'!D9</f>
        <v>438484.65</v>
      </c>
      <c r="D55" s="16"/>
      <c r="E55" s="7" t="str">
        <f aca="false">IF(D55="","",D55-C55)</f>
        <v/>
      </c>
      <c r="F55" s="8" t="str">
        <f aca="false">IF(D55="","",D55/C55-1)</f>
        <v/>
      </c>
    </row>
    <row r="56" customFormat="false" ht="15" hidden="false" customHeight="false" outlineLevel="0" collapsed="false">
      <c r="A56" s="5" t="s">
        <v>26</v>
      </c>
      <c r="B56" s="5" t="s">
        <v>6</v>
      </c>
      <c r="C56" s="13" t="n">
        <f aca="false">'Targets 2027'!E9</f>
        <v>416409.53</v>
      </c>
      <c r="D56" s="16"/>
      <c r="E56" s="7" t="str">
        <f aca="false">IF(D56="","",D56-C56)</f>
        <v/>
      </c>
      <c r="F56" s="8" t="str">
        <f aca="false">IF(D56="","",D56/C56-1)</f>
        <v/>
      </c>
    </row>
    <row r="57" customFormat="false" ht="15" hidden="false" customHeight="false" outlineLevel="0" collapsed="false">
      <c r="A57" s="5" t="s">
        <v>26</v>
      </c>
      <c r="B57" s="5" t="s">
        <v>7</v>
      </c>
      <c r="C57" s="13" t="n">
        <f aca="false">'Targets 2027'!F9</f>
        <v>454594.01</v>
      </c>
      <c r="D57" s="16"/>
      <c r="E57" s="7" t="str">
        <f aca="false">IF(D57="","",D57-C57)</f>
        <v/>
      </c>
      <c r="F57" s="8" t="str">
        <f aca="false">IF(D57="","",D57/C57-1)</f>
        <v/>
      </c>
    </row>
    <row r="58" customFormat="false" ht="15" hidden="false" customHeight="false" outlineLevel="0" collapsed="false">
      <c r="A58" s="5" t="s">
        <v>26</v>
      </c>
      <c r="B58" s="5" t="s">
        <v>8</v>
      </c>
      <c r="C58" s="13" t="n">
        <f aca="false">'Targets 2027'!G9</f>
        <v>421443.45</v>
      </c>
      <c r="D58" s="16"/>
      <c r="E58" s="7" t="str">
        <f aca="false">IF(D58="","",D58-C58)</f>
        <v/>
      </c>
      <c r="F58" s="8" t="str">
        <f aca="false">IF(D58="","",D58/C58-1)</f>
        <v/>
      </c>
    </row>
    <row r="59" customFormat="false" ht="15" hidden="false" customHeight="false" outlineLevel="0" collapsed="false">
      <c r="A59" s="5" t="s">
        <v>26</v>
      </c>
      <c r="B59" s="5" t="s">
        <v>9</v>
      </c>
      <c r="C59" s="13" t="n">
        <f aca="false">'Targets 2027'!H9</f>
        <v>444464.45</v>
      </c>
      <c r="D59" s="16"/>
      <c r="E59" s="7" t="str">
        <f aca="false">IF(D59="","",D59-C59)</f>
        <v/>
      </c>
      <c r="F59" s="8" t="str">
        <f aca="false">IF(D59="","",D59/C59-1)</f>
        <v/>
      </c>
    </row>
    <row r="60" customFormat="false" ht="15" hidden="false" customHeight="false" outlineLevel="0" collapsed="false">
      <c r="A60" s="5" t="s">
        <v>26</v>
      </c>
      <c r="B60" s="5" t="s">
        <v>10</v>
      </c>
      <c r="C60" s="13" t="n">
        <f aca="false">'Targets 2027'!I9</f>
        <v>462061.08</v>
      </c>
      <c r="D60" s="16"/>
      <c r="E60" s="7" t="str">
        <f aca="false">IF(D60="","",D60-C60)</f>
        <v/>
      </c>
      <c r="F60" s="8" t="str">
        <f aca="false">IF(D60="","",D60/C60-1)</f>
        <v/>
      </c>
    </row>
    <row r="61" customFormat="false" ht="15" hidden="false" customHeight="false" outlineLevel="0" collapsed="false">
      <c r="A61" s="5" t="s">
        <v>26</v>
      </c>
      <c r="B61" s="5" t="s">
        <v>11</v>
      </c>
      <c r="C61" s="13" t="n">
        <f aca="false">'Targets 2027'!J9</f>
        <v>403897.6</v>
      </c>
      <c r="D61" s="16"/>
      <c r="E61" s="7" t="str">
        <f aca="false">IF(D61="","",D61-C61)</f>
        <v/>
      </c>
      <c r="F61" s="8" t="str">
        <f aca="false">IF(D61="","",D61/C61-1)</f>
        <v/>
      </c>
    </row>
    <row r="62" customFormat="false" ht="15" hidden="false" customHeight="false" outlineLevel="0" collapsed="false">
      <c r="A62" s="5" t="s">
        <v>26</v>
      </c>
      <c r="B62" s="5" t="s">
        <v>12</v>
      </c>
      <c r="C62" s="13" t="n">
        <f aca="false">'Targets 2027'!K9</f>
        <v>425684.45</v>
      </c>
      <c r="D62" s="16"/>
      <c r="E62" s="7" t="str">
        <f aca="false">IF(D62="","",D62-C62)</f>
        <v/>
      </c>
      <c r="F62" s="8" t="str">
        <f aca="false">IF(D62="","",D62/C62-1)</f>
        <v/>
      </c>
    </row>
    <row r="63" customFormat="false" ht="15" hidden="false" customHeight="false" outlineLevel="0" collapsed="false">
      <c r="A63" s="5" t="s">
        <v>26</v>
      </c>
      <c r="B63" s="5" t="s">
        <v>13</v>
      </c>
      <c r="C63" s="13" t="n">
        <f aca="false">'Targets 2027'!L9</f>
        <v>416009.75</v>
      </c>
      <c r="D63" s="16"/>
      <c r="E63" s="7" t="str">
        <f aca="false">IF(D63="","",D63-C63)</f>
        <v/>
      </c>
      <c r="F63" s="8" t="str">
        <f aca="false">IF(D63="","",D63/C63-1)</f>
        <v/>
      </c>
    </row>
    <row r="64" customFormat="false" ht="15" hidden="false" customHeight="false" outlineLevel="0" collapsed="false">
      <c r="A64" s="5" t="s">
        <v>26</v>
      </c>
      <c r="B64" s="5" t="s">
        <v>14</v>
      </c>
      <c r="C64" s="13" t="n">
        <f aca="false">'Targets 2027'!M9</f>
        <v>453974.83</v>
      </c>
      <c r="D64" s="16"/>
      <c r="E64" s="7" t="str">
        <f aca="false">IF(D64="","",D64-C64)</f>
        <v/>
      </c>
      <c r="F64" s="8" t="str">
        <f aca="false">IF(D64="","",D64/C64-1)</f>
        <v/>
      </c>
    </row>
    <row r="65" customFormat="false" ht="15" hidden="false" customHeight="false" outlineLevel="0" collapsed="false">
      <c r="A65" s="5" t="s">
        <v>27</v>
      </c>
      <c r="B65" s="5" t="s">
        <v>3</v>
      </c>
      <c r="C65" s="13" t="n">
        <f aca="false">'Targets 2027'!B10</f>
        <v>257347.15</v>
      </c>
      <c r="D65" s="16"/>
      <c r="E65" s="7" t="str">
        <f aca="false">IF(D65="","",D65-C65)</f>
        <v/>
      </c>
      <c r="F65" s="8" t="str">
        <f aca="false">IF(D65="","",D65/C65-1)</f>
        <v/>
      </c>
    </row>
    <row r="66" customFormat="false" ht="15" hidden="false" customHeight="false" outlineLevel="0" collapsed="false">
      <c r="A66" s="5" t="s">
        <v>27</v>
      </c>
      <c r="B66" s="5" t="s">
        <v>4</v>
      </c>
      <c r="C66" s="13" t="n">
        <f aca="false">'Targets 2027'!C10</f>
        <v>234138.23</v>
      </c>
      <c r="D66" s="16"/>
      <c r="E66" s="7" t="str">
        <f aca="false">IF(D66="","",D66-C66)</f>
        <v/>
      </c>
      <c r="F66" s="8" t="str">
        <f aca="false">IF(D66="","",D66/C66-1)</f>
        <v/>
      </c>
    </row>
    <row r="67" customFormat="false" ht="15" hidden="false" customHeight="false" outlineLevel="0" collapsed="false">
      <c r="A67" s="5" t="s">
        <v>27</v>
      </c>
      <c r="B67" s="5" t="s">
        <v>5</v>
      </c>
      <c r="C67" s="13" t="n">
        <f aca="false">'Targets 2027'!D10</f>
        <v>265056.56</v>
      </c>
      <c r="D67" s="16"/>
      <c r="E67" s="7" t="str">
        <f aca="false">IF(D67="","",D67-C67)</f>
        <v/>
      </c>
      <c r="F67" s="8" t="str">
        <f aca="false">IF(D67="","",D67/C67-1)</f>
        <v/>
      </c>
    </row>
    <row r="68" customFormat="false" ht="15" hidden="false" customHeight="false" outlineLevel="0" collapsed="false">
      <c r="A68" s="5" t="s">
        <v>27</v>
      </c>
      <c r="B68" s="5" t="s">
        <v>6</v>
      </c>
      <c r="C68" s="13" t="n">
        <f aca="false">'Targets 2027'!E10</f>
        <v>262039.19</v>
      </c>
      <c r="D68" s="16"/>
      <c r="E68" s="7" t="str">
        <f aca="false">IF(D68="","",D68-C68)</f>
        <v/>
      </c>
      <c r="F68" s="8" t="str">
        <f aca="false">IF(D68="","",D68/C68-1)</f>
        <v/>
      </c>
    </row>
    <row r="69" customFormat="false" ht="15" hidden="false" customHeight="false" outlineLevel="0" collapsed="false">
      <c r="A69" s="5" t="s">
        <v>27</v>
      </c>
      <c r="B69" s="5" t="s">
        <v>7</v>
      </c>
      <c r="C69" s="13" t="n">
        <f aca="false">'Targets 2027'!F10</f>
        <v>279695.99</v>
      </c>
      <c r="D69" s="16"/>
      <c r="E69" s="7" t="str">
        <f aca="false">IF(D69="","",D69-C69)</f>
        <v/>
      </c>
      <c r="F69" s="8" t="str">
        <f aca="false">IF(D69="","",D69/C69-1)</f>
        <v/>
      </c>
    </row>
    <row r="70" customFormat="false" ht="15" hidden="false" customHeight="false" outlineLevel="0" collapsed="false">
      <c r="A70" s="5" t="s">
        <v>27</v>
      </c>
      <c r="B70" s="5" t="s">
        <v>8</v>
      </c>
      <c r="C70" s="13" t="n">
        <f aca="false">'Targets 2027'!G10</f>
        <v>254919.15</v>
      </c>
      <c r="D70" s="16"/>
      <c r="E70" s="7" t="str">
        <f aca="false">IF(D70="","",D70-C70)</f>
        <v/>
      </c>
      <c r="F70" s="8" t="str">
        <f aca="false">IF(D70="","",D70/C70-1)</f>
        <v/>
      </c>
    </row>
    <row r="71" customFormat="false" ht="15" hidden="false" customHeight="false" outlineLevel="0" collapsed="false">
      <c r="A71" s="5" t="s">
        <v>27</v>
      </c>
      <c r="B71" s="5" t="s">
        <v>9</v>
      </c>
      <c r="C71" s="13" t="n">
        <f aca="false">'Targets 2027'!H10</f>
        <v>278642.95</v>
      </c>
      <c r="D71" s="16"/>
      <c r="E71" s="7" t="str">
        <f aca="false">IF(D71="","",D71-C71)</f>
        <v/>
      </c>
      <c r="F71" s="8" t="str">
        <f aca="false">IF(D71="","",D71/C71-1)</f>
        <v/>
      </c>
    </row>
    <row r="72" customFormat="false" ht="15" hidden="false" customHeight="false" outlineLevel="0" collapsed="false">
      <c r="A72" s="5" t="s">
        <v>27</v>
      </c>
      <c r="B72" s="5" t="s">
        <v>10</v>
      </c>
      <c r="C72" s="13" t="n">
        <f aca="false">'Targets 2027'!I10</f>
        <v>278428.66</v>
      </c>
      <c r="D72" s="16"/>
      <c r="E72" s="7" t="str">
        <f aca="false">IF(D72="","",D72-C72)</f>
        <v/>
      </c>
      <c r="F72" s="8" t="str">
        <f aca="false">IF(D72="","",D72/C72-1)</f>
        <v/>
      </c>
    </row>
    <row r="73" customFormat="false" ht="15" hidden="false" customHeight="false" outlineLevel="0" collapsed="false">
      <c r="A73" s="5" t="s">
        <v>27</v>
      </c>
      <c r="B73" s="5" t="s">
        <v>11</v>
      </c>
      <c r="C73" s="13" t="n">
        <f aca="false">'Targets 2027'!J10</f>
        <v>244515.81</v>
      </c>
      <c r="D73" s="16"/>
      <c r="E73" s="7" t="str">
        <f aca="false">IF(D73="","",D73-C73)</f>
        <v/>
      </c>
      <c r="F73" s="8" t="str">
        <f aca="false">IF(D73="","",D73/C73-1)</f>
        <v/>
      </c>
    </row>
    <row r="74" customFormat="false" ht="15" hidden="false" customHeight="false" outlineLevel="0" collapsed="false">
      <c r="A74" s="5" t="s">
        <v>27</v>
      </c>
      <c r="B74" s="5" t="s">
        <v>12</v>
      </c>
      <c r="C74" s="13" t="n">
        <f aca="false">'Targets 2027'!K10</f>
        <v>257847.21</v>
      </c>
      <c r="D74" s="16"/>
      <c r="E74" s="7" t="str">
        <f aca="false">IF(D74="","",D74-C74)</f>
        <v/>
      </c>
      <c r="F74" s="8" t="str">
        <f aca="false">IF(D74="","",D74/C74-1)</f>
        <v/>
      </c>
    </row>
    <row r="75" customFormat="false" ht="15" hidden="false" customHeight="false" outlineLevel="0" collapsed="false">
      <c r="A75" s="5" t="s">
        <v>27</v>
      </c>
      <c r="B75" s="5" t="s">
        <v>13</v>
      </c>
      <c r="C75" s="13" t="n">
        <f aca="false">'Targets 2027'!L10</f>
        <v>250121.21</v>
      </c>
      <c r="D75" s="16"/>
      <c r="E75" s="7" t="str">
        <f aca="false">IF(D75="","",D75-C75)</f>
        <v/>
      </c>
      <c r="F75" s="8" t="str">
        <f aca="false">IF(D75="","",D75/C75-1)</f>
        <v/>
      </c>
    </row>
    <row r="76" customFormat="false" ht="15" hidden="false" customHeight="false" outlineLevel="0" collapsed="false">
      <c r="A76" s="5" t="s">
        <v>27</v>
      </c>
      <c r="B76" s="5" t="s">
        <v>14</v>
      </c>
      <c r="C76" s="13" t="n">
        <f aca="false">'Targets 2027'!M10</f>
        <v>264806</v>
      </c>
      <c r="D76" s="16"/>
      <c r="E76" s="7" t="str">
        <f aca="false">IF(D76="","",D76-C76)</f>
        <v/>
      </c>
      <c r="F76" s="8" t="str">
        <f aca="false">IF(D76="","",D76/C76-1)</f>
        <v/>
      </c>
    </row>
    <row r="77" customFormat="false" ht="15" hidden="false" customHeight="false" outlineLevel="0" collapsed="false">
      <c r="A77" s="5" t="s">
        <v>28</v>
      </c>
      <c r="B77" s="5" t="s">
        <v>3</v>
      </c>
      <c r="C77" s="13" t="n">
        <f aca="false">'Targets 2027'!B11</f>
        <v>70024.33</v>
      </c>
      <c r="D77" s="16"/>
      <c r="E77" s="7" t="str">
        <f aca="false">IF(D77="","",D77-C77)</f>
        <v/>
      </c>
      <c r="F77" s="8" t="str">
        <f aca="false">IF(D77="","",D77/C77-1)</f>
        <v/>
      </c>
    </row>
    <row r="78" customFormat="false" ht="15" hidden="false" customHeight="false" outlineLevel="0" collapsed="false">
      <c r="A78" s="5" t="s">
        <v>28</v>
      </c>
      <c r="B78" s="5" t="s">
        <v>4</v>
      </c>
      <c r="C78" s="13" t="n">
        <f aca="false">'Targets 2027'!C11</f>
        <v>65363.47</v>
      </c>
      <c r="D78" s="16"/>
      <c r="E78" s="7" t="str">
        <f aca="false">IF(D78="","",D78-C78)</f>
        <v/>
      </c>
      <c r="F78" s="8" t="str">
        <f aca="false">IF(D78="","",D78/C78-1)</f>
        <v/>
      </c>
    </row>
    <row r="79" customFormat="false" ht="15" hidden="false" customHeight="false" outlineLevel="0" collapsed="false">
      <c r="A79" s="5" t="s">
        <v>28</v>
      </c>
      <c r="B79" s="5" t="s">
        <v>5</v>
      </c>
      <c r="C79" s="13" t="n">
        <f aca="false">'Targets 2027'!D11</f>
        <v>80282.84</v>
      </c>
      <c r="D79" s="16"/>
      <c r="E79" s="7" t="str">
        <f aca="false">IF(D79="","",D79-C79)</f>
        <v/>
      </c>
      <c r="F79" s="8" t="str">
        <f aca="false">IF(D79="","",D79/C79-1)</f>
        <v/>
      </c>
    </row>
    <row r="80" customFormat="false" ht="15" hidden="false" customHeight="false" outlineLevel="0" collapsed="false">
      <c r="A80" s="5" t="s">
        <v>28</v>
      </c>
      <c r="B80" s="5" t="s">
        <v>6</v>
      </c>
      <c r="C80" s="13" t="n">
        <f aca="false">'Targets 2027'!E11</f>
        <v>78691.41</v>
      </c>
      <c r="D80" s="16"/>
      <c r="E80" s="7" t="str">
        <f aca="false">IF(D80="","",D80-C80)</f>
        <v/>
      </c>
      <c r="F80" s="8" t="str">
        <f aca="false">IF(D80="","",D80/C80-1)</f>
        <v/>
      </c>
    </row>
    <row r="81" customFormat="false" ht="15" hidden="false" customHeight="false" outlineLevel="0" collapsed="false">
      <c r="A81" s="5" t="s">
        <v>28</v>
      </c>
      <c r="B81" s="5" t="s">
        <v>7</v>
      </c>
      <c r="C81" s="13" t="n">
        <f aca="false">'Targets 2027'!F11</f>
        <v>81914.6</v>
      </c>
      <c r="D81" s="16"/>
      <c r="E81" s="7" t="str">
        <f aca="false">IF(D81="","",D81-C81)</f>
        <v/>
      </c>
      <c r="F81" s="8" t="str">
        <f aca="false">IF(D81="","",D81/C81-1)</f>
        <v/>
      </c>
    </row>
    <row r="82" customFormat="false" ht="15" hidden="false" customHeight="false" outlineLevel="0" collapsed="false">
      <c r="A82" s="5" t="s">
        <v>28</v>
      </c>
      <c r="B82" s="5" t="s">
        <v>8</v>
      </c>
      <c r="C82" s="13" t="n">
        <f aca="false">'Targets 2027'!G11</f>
        <v>80680.83</v>
      </c>
      <c r="D82" s="16"/>
      <c r="E82" s="7" t="str">
        <f aca="false">IF(D82="","",D82-C82)</f>
        <v/>
      </c>
      <c r="F82" s="8" t="str">
        <f aca="false">IF(D82="","",D82/C82-1)</f>
        <v/>
      </c>
    </row>
    <row r="83" customFormat="false" ht="15" hidden="false" customHeight="false" outlineLevel="0" collapsed="false">
      <c r="A83" s="5" t="s">
        <v>28</v>
      </c>
      <c r="B83" s="5" t="s">
        <v>9</v>
      </c>
      <c r="C83" s="13" t="n">
        <f aca="false">'Targets 2027'!H11</f>
        <v>95117.93</v>
      </c>
      <c r="D83" s="16"/>
      <c r="E83" s="7" t="str">
        <f aca="false">IF(D83="","",D83-C83)</f>
        <v/>
      </c>
      <c r="F83" s="8" t="str">
        <f aca="false">IF(D83="","",D83/C83-1)</f>
        <v/>
      </c>
    </row>
    <row r="84" customFormat="false" ht="15" hidden="false" customHeight="false" outlineLevel="0" collapsed="false">
      <c r="A84" s="5" t="s">
        <v>28</v>
      </c>
      <c r="B84" s="5" t="s">
        <v>10</v>
      </c>
      <c r="C84" s="13" t="n">
        <f aca="false">'Targets 2027'!I11</f>
        <v>92412.44</v>
      </c>
      <c r="D84" s="16"/>
      <c r="E84" s="7" t="str">
        <f aca="false">IF(D84="","",D84-C84)</f>
        <v/>
      </c>
      <c r="F84" s="8" t="str">
        <f aca="false">IF(D84="","",D84/C84-1)</f>
        <v/>
      </c>
    </row>
    <row r="85" customFormat="false" ht="15" hidden="false" customHeight="false" outlineLevel="0" collapsed="false">
      <c r="A85" s="5" t="s">
        <v>28</v>
      </c>
      <c r="B85" s="5" t="s">
        <v>11</v>
      </c>
      <c r="C85" s="13" t="n">
        <f aca="false">'Targets 2027'!J11</f>
        <v>75560.91</v>
      </c>
      <c r="D85" s="16"/>
      <c r="E85" s="7" t="str">
        <f aca="false">IF(D85="","",D85-C85)</f>
        <v/>
      </c>
      <c r="F85" s="8" t="str">
        <f aca="false">IF(D85="","",D85/C85-1)</f>
        <v/>
      </c>
    </row>
    <row r="86" customFormat="false" ht="15" hidden="false" customHeight="false" outlineLevel="0" collapsed="false">
      <c r="A86" s="5" t="s">
        <v>28</v>
      </c>
      <c r="B86" s="5" t="s">
        <v>12</v>
      </c>
      <c r="C86" s="13" t="n">
        <f aca="false">'Targets 2027'!K11</f>
        <v>74362.39</v>
      </c>
      <c r="D86" s="16"/>
      <c r="E86" s="7" t="str">
        <f aca="false">IF(D86="","",D86-C86)</f>
        <v/>
      </c>
      <c r="F86" s="8" t="str">
        <f aca="false">IF(D86="","",D86/C86-1)</f>
        <v/>
      </c>
    </row>
    <row r="87" customFormat="false" ht="15" hidden="false" customHeight="false" outlineLevel="0" collapsed="false">
      <c r="A87" s="5" t="s">
        <v>28</v>
      </c>
      <c r="B87" s="5" t="s">
        <v>13</v>
      </c>
      <c r="C87" s="13" t="n">
        <f aca="false">'Targets 2027'!L11</f>
        <v>67804.32</v>
      </c>
      <c r="D87" s="16"/>
      <c r="E87" s="7" t="str">
        <f aca="false">IF(D87="","",D87-C87)</f>
        <v/>
      </c>
      <c r="F87" s="8" t="str">
        <f aca="false">IF(D87="","",D87/C87-1)</f>
        <v/>
      </c>
    </row>
    <row r="88" customFormat="false" ht="15" hidden="false" customHeight="false" outlineLevel="0" collapsed="false">
      <c r="A88" s="5" t="s">
        <v>28</v>
      </c>
      <c r="B88" s="5" t="s">
        <v>14</v>
      </c>
      <c r="C88" s="13" t="n">
        <f aca="false">'Targets 2027'!M11</f>
        <v>69510.22</v>
      </c>
      <c r="D88" s="16"/>
      <c r="E88" s="7" t="str">
        <f aca="false">IF(D88="","",D88-C88)</f>
        <v/>
      </c>
      <c r="F88" s="8" t="str">
        <f aca="false">IF(D88="","",D88/C88-1)</f>
        <v/>
      </c>
    </row>
    <row r="89" customFormat="false" ht="15" hidden="false" customHeight="false" outlineLevel="0" collapsed="false">
      <c r="A89" s="5" t="s">
        <v>29</v>
      </c>
      <c r="B89" s="5" t="s">
        <v>3</v>
      </c>
      <c r="C89" s="13" t="n">
        <f aca="false">'Targets 2027'!B12</f>
        <v>296914.31</v>
      </c>
      <c r="D89" s="16"/>
      <c r="E89" s="7" t="str">
        <f aca="false">IF(D89="","",D89-C89)</f>
        <v/>
      </c>
      <c r="F89" s="8" t="str">
        <f aca="false">IF(D89="","",D89/C89-1)</f>
        <v/>
      </c>
    </row>
    <row r="90" customFormat="false" ht="15" hidden="false" customHeight="false" outlineLevel="0" collapsed="false">
      <c r="A90" s="5" t="s">
        <v>29</v>
      </c>
      <c r="B90" s="5" t="s">
        <v>4</v>
      </c>
      <c r="C90" s="13" t="n">
        <f aca="false">'Targets 2027'!C12</f>
        <v>286294.25</v>
      </c>
      <c r="D90" s="16"/>
      <c r="E90" s="7" t="str">
        <f aca="false">IF(D90="","",D90-C90)</f>
        <v/>
      </c>
      <c r="F90" s="8" t="str">
        <f aca="false">IF(D90="","",D90/C90-1)</f>
        <v/>
      </c>
    </row>
    <row r="91" customFormat="false" ht="15" hidden="false" customHeight="false" outlineLevel="0" collapsed="false">
      <c r="A91" s="5" t="s">
        <v>29</v>
      </c>
      <c r="B91" s="5" t="s">
        <v>5</v>
      </c>
      <c r="C91" s="13" t="n">
        <f aca="false">'Targets 2027'!D12</f>
        <v>338579.82</v>
      </c>
      <c r="D91" s="16"/>
      <c r="E91" s="7" t="str">
        <f aca="false">IF(D91="","",D91-C91)</f>
        <v/>
      </c>
      <c r="F91" s="8" t="str">
        <f aca="false">IF(D91="","",D91/C91-1)</f>
        <v/>
      </c>
    </row>
    <row r="92" customFormat="false" ht="15" hidden="false" customHeight="false" outlineLevel="0" collapsed="false">
      <c r="A92" s="5" t="s">
        <v>29</v>
      </c>
      <c r="B92" s="5" t="s">
        <v>6</v>
      </c>
      <c r="C92" s="13" t="n">
        <f aca="false">'Targets 2027'!E12</f>
        <v>342033.7</v>
      </c>
      <c r="D92" s="16"/>
      <c r="E92" s="7" t="str">
        <f aca="false">IF(D92="","",D92-C92)</f>
        <v/>
      </c>
      <c r="F92" s="8" t="str">
        <f aca="false">IF(D92="","",D92/C92-1)</f>
        <v/>
      </c>
    </row>
    <row r="93" customFormat="false" ht="15" hidden="false" customHeight="false" outlineLevel="0" collapsed="false">
      <c r="A93" s="5" t="s">
        <v>29</v>
      </c>
      <c r="B93" s="5" t="s">
        <v>7</v>
      </c>
      <c r="C93" s="13" t="n">
        <f aca="false">'Targets 2027'!F12</f>
        <v>347090.01</v>
      </c>
      <c r="D93" s="16"/>
      <c r="E93" s="7" t="str">
        <f aca="false">IF(D93="","",D93-C93)</f>
        <v/>
      </c>
      <c r="F93" s="8" t="str">
        <f aca="false">IF(D93="","",D93/C93-1)</f>
        <v/>
      </c>
    </row>
    <row r="94" customFormat="false" ht="15" hidden="false" customHeight="false" outlineLevel="0" collapsed="false">
      <c r="A94" s="5" t="s">
        <v>29</v>
      </c>
      <c r="B94" s="5" t="s">
        <v>8</v>
      </c>
      <c r="C94" s="13" t="n">
        <f aca="false">'Targets 2027'!G12</f>
        <v>332147.99</v>
      </c>
      <c r="D94" s="16"/>
      <c r="E94" s="7" t="str">
        <f aca="false">IF(D94="","",D94-C94)</f>
        <v/>
      </c>
      <c r="F94" s="8" t="str">
        <f aca="false">IF(D94="","",D94/C94-1)</f>
        <v/>
      </c>
    </row>
    <row r="95" customFormat="false" ht="15" hidden="false" customHeight="false" outlineLevel="0" collapsed="false">
      <c r="A95" s="5" t="s">
        <v>29</v>
      </c>
      <c r="B95" s="5" t="s">
        <v>9</v>
      </c>
      <c r="C95" s="13" t="n">
        <f aca="false">'Targets 2027'!H12</f>
        <v>367354.16</v>
      </c>
      <c r="D95" s="16"/>
      <c r="E95" s="7" t="str">
        <f aca="false">IF(D95="","",D95-C95)</f>
        <v/>
      </c>
      <c r="F95" s="8" t="str">
        <f aca="false">IF(D95="","",D95/C95-1)</f>
        <v/>
      </c>
    </row>
    <row r="96" customFormat="false" ht="15" hidden="false" customHeight="false" outlineLevel="0" collapsed="false">
      <c r="A96" s="5" t="s">
        <v>29</v>
      </c>
      <c r="B96" s="5" t="s">
        <v>10</v>
      </c>
      <c r="C96" s="13" t="n">
        <f aca="false">'Targets 2027'!I12</f>
        <v>368327.3</v>
      </c>
      <c r="D96" s="16"/>
      <c r="E96" s="7" t="str">
        <f aca="false">IF(D96="","",D96-C96)</f>
        <v/>
      </c>
      <c r="F96" s="8" t="str">
        <f aca="false">IF(D96="","",D96/C96-1)</f>
        <v/>
      </c>
    </row>
    <row r="97" customFormat="false" ht="15" hidden="false" customHeight="false" outlineLevel="0" collapsed="false">
      <c r="A97" s="5" t="s">
        <v>29</v>
      </c>
      <c r="B97" s="5" t="s">
        <v>11</v>
      </c>
      <c r="C97" s="13" t="n">
        <f aca="false">'Targets 2027'!J12</f>
        <v>307233.84</v>
      </c>
      <c r="D97" s="16"/>
      <c r="E97" s="7" t="str">
        <f aca="false">IF(D97="","",D97-C97)</f>
        <v/>
      </c>
      <c r="F97" s="8" t="str">
        <f aca="false">IF(D97="","",D97/C97-1)</f>
        <v/>
      </c>
    </row>
    <row r="98" customFormat="false" ht="15" hidden="false" customHeight="false" outlineLevel="0" collapsed="false">
      <c r="A98" s="5" t="s">
        <v>29</v>
      </c>
      <c r="B98" s="5" t="s">
        <v>12</v>
      </c>
      <c r="C98" s="13" t="n">
        <f aca="false">'Targets 2027'!K12</f>
        <v>316289.17</v>
      </c>
      <c r="D98" s="16"/>
      <c r="E98" s="7" t="str">
        <f aca="false">IF(D98="","",D98-C98)</f>
        <v/>
      </c>
      <c r="F98" s="8" t="str">
        <f aca="false">IF(D98="","",D98/C98-1)</f>
        <v/>
      </c>
    </row>
    <row r="99" customFormat="false" ht="15" hidden="false" customHeight="false" outlineLevel="0" collapsed="false">
      <c r="A99" s="5" t="s">
        <v>29</v>
      </c>
      <c r="B99" s="5" t="s">
        <v>13</v>
      </c>
      <c r="C99" s="13" t="n">
        <f aca="false">'Targets 2027'!L12</f>
        <v>306667.72</v>
      </c>
      <c r="D99" s="16"/>
      <c r="E99" s="7" t="str">
        <f aca="false">IF(D99="","",D99-C99)</f>
        <v/>
      </c>
      <c r="F99" s="8" t="str">
        <f aca="false">IF(D99="","",D99/C99-1)</f>
        <v/>
      </c>
    </row>
    <row r="100" customFormat="false" ht="15" hidden="false" customHeight="false" outlineLevel="0" collapsed="false">
      <c r="A100" s="5" t="s">
        <v>29</v>
      </c>
      <c r="B100" s="5" t="s">
        <v>14</v>
      </c>
      <c r="C100" s="13" t="n">
        <f aca="false">'Targets 2027'!M12</f>
        <v>319163.66</v>
      </c>
      <c r="D100" s="16"/>
      <c r="E100" s="7" t="str">
        <f aca="false">IF(D100="","",D100-C100)</f>
        <v/>
      </c>
      <c r="F100" s="8" t="str">
        <f aca="false">IF(D100="","",D100/C100-1)</f>
        <v/>
      </c>
    </row>
    <row r="101" customFormat="false" ht="15" hidden="false" customHeight="false" outlineLevel="0" collapsed="false">
      <c r="A101" s="5" t="s">
        <v>30</v>
      </c>
      <c r="B101" s="5" t="s">
        <v>3</v>
      </c>
      <c r="C101" s="13" t="n">
        <f aca="false">'Targets 2027'!B13</f>
        <v>327146.38</v>
      </c>
      <c r="D101" s="16"/>
      <c r="E101" s="7" t="str">
        <f aca="false">IF(D101="","",D101-C101)</f>
        <v/>
      </c>
      <c r="F101" s="8" t="str">
        <f aca="false">IF(D101="","",D101/C101-1)</f>
        <v/>
      </c>
    </row>
    <row r="102" customFormat="false" ht="15" hidden="false" customHeight="false" outlineLevel="0" collapsed="false">
      <c r="A102" s="5" t="s">
        <v>30</v>
      </c>
      <c r="B102" s="5" t="s">
        <v>4</v>
      </c>
      <c r="C102" s="13" t="n">
        <f aca="false">'Targets 2027'!C13</f>
        <v>271492.7</v>
      </c>
      <c r="D102" s="16"/>
      <c r="E102" s="7" t="str">
        <f aca="false">IF(D102="","",D102-C102)</f>
        <v/>
      </c>
      <c r="F102" s="8" t="str">
        <f aca="false">IF(D102="","",D102/C102-1)</f>
        <v/>
      </c>
    </row>
    <row r="103" customFormat="false" ht="15" hidden="false" customHeight="false" outlineLevel="0" collapsed="false">
      <c r="A103" s="5" t="s">
        <v>30</v>
      </c>
      <c r="B103" s="5" t="s">
        <v>5</v>
      </c>
      <c r="C103" s="13" t="n">
        <f aca="false">'Targets 2027'!D13</f>
        <v>316609.81</v>
      </c>
      <c r="D103" s="16"/>
      <c r="E103" s="7" t="str">
        <f aca="false">IF(D103="","",D103-C103)</f>
        <v/>
      </c>
      <c r="F103" s="8" t="str">
        <f aca="false">IF(D103="","",D103/C103-1)</f>
        <v/>
      </c>
    </row>
    <row r="104" customFormat="false" ht="15" hidden="false" customHeight="false" outlineLevel="0" collapsed="false">
      <c r="A104" s="5" t="s">
        <v>30</v>
      </c>
      <c r="B104" s="5" t="s">
        <v>6</v>
      </c>
      <c r="C104" s="13" t="n">
        <f aca="false">'Targets 2027'!E13</f>
        <v>307133.63</v>
      </c>
      <c r="D104" s="16"/>
      <c r="E104" s="7" t="str">
        <f aca="false">IF(D104="","",D104-C104)</f>
        <v/>
      </c>
      <c r="F104" s="8" t="str">
        <f aca="false">IF(D104="","",D104/C104-1)</f>
        <v/>
      </c>
    </row>
    <row r="105" customFormat="false" ht="15" hidden="false" customHeight="false" outlineLevel="0" collapsed="false">
      <c r="A105" s="5" t="s">
        <v>30</v>
      </c>
      <c r="B105" s="5" t="s">
        <v>7</v>
      </c>
      <c r="C105" s="13" t="n">
        <f aca="false">'Targets 2027'!F13</f>
        <v>349631.07</v>
      </c>
      <c r="D105" s="16"/>
      <c r="E105" s="7" t="str">
        <f aca="false">IF(D105="","",D105-C105)</f>
        <v/>
      </c>
      <c r="F105" s="8" t="str">
        <f aca="false">IF(D105="","",D105/C105-1)</f>
        <v/>
      </c>
    </row>
    <row r="106" customFormat="false" ht="15" hidden="false" customHeight="false" outlineLevel="0" collapsed="false">
      <c r="A106" s="5" t="s">
        <v>30</v>
      </c>
      <c r="B106" s="5" t="s">
        <v>8</v>
      </c>
      <c r="C106" s="13" t="n">
        <f aca="false">'Targets 2027'!G13</f>
        <v>326325.44</v>
      </c>
      <c r="D106" s="16"/>
      <c r="E106" s="7" t="str">
        <f aca="false">IF(D106="","",D106-C106)</f>
        <v/>
      </c>
      <c r="F106" s="8" t="str">
        <f aca="false">IF(D106="","",D106/C106-1)</f>
        <v/>
      </c>
    </row>
    <row r="107" customFormat="false" ht="15" hidden="false" customHeight="false" outlineLevel="0" collapsed="false">
      <c r="A107" s="5" t="s">
        <v>30</v>
      </c>
      <c r="B107" s="5" t="s">
        <v>9</v>
      </c>
      <c r="C107" s="13" t="n">
        <f aca="false">'Targets 2027'!H13</f>
        <v>363061.05</v>
      </c>
      <c r="D107" s="16"/>
      <c r="E107" s="7" t="str">
        <f aca="false">IF(D107="","",D107-C107)</f>
        <v/>
      </c>
      <c r="F107" s="8" t="str">
        <f aca="false">IF(D107="","",D107/C107-1)</f>
        <v/>
      </c>
    </row>
    <row r="108" customFormat="false" ht="15" hidden="false" customHeight="false" outlineLevel="0" collapsed="false">
      <c r="A108" s="5" t="s">
        <v>30</v>
      </c>
      <c r="B108" s="5" t="s">
        <v>10</v>
      </c>
      <c r="C108" s="13" t="n">
        <f aca="false">'Targets 2027'!I13</f>
        <v>359674.68</v>
      </c>
      <c r="D108" s="16"/>
      <c r="E108" s="7" t="str">
        <f aca="false">IF(D108="","",D108-C108)</f>
        <v/>
      </c>
      <c r="F108" s="8" t="str">
        <f aca="false">IF(D108="","",D108/C108-1)</f>
        <v/>
      </c>
    </row>
    <row r="109" customFormat="false" ht="15" hidden="false" customHeight="false" outlineLevel="0" collapsed="false">
      <c r="A109" s="5" t="s">
        <v>30</v>
      </c>
      <c r="B109" s="5" t="s">
        <v>11</v>
      </c>
      <c r="C109" s="13" t="n">
        <f aca="false">'Targets 2027'!J13</f>
        <v>296046.26</v>
      </c>
      <c r="D109" s="16"/>
      <c r="E109" s="7" t="str">
        <f aca="false">IF(D109="","",D109-C109)</f>
        <v/>
      </c>
      <c r="F109" s="8" t="str">
        <f aca="false">IF(D109="","",D109/C109-1)</f>
        <v/>
      </c>
    </row>
    <row r="110" customFormat="false" ht="15" hidden="false" customHeight="false" outlineLevel="0" collapsed="false">
      <c r="A110" s="5" t="s">
        <v>30</v>
      </c>
      <c r="B110" s="5" t="s">
        <v>12</v>
      </c>
      <c r="C110" s="13" t="n">
        <f aca="false">'Targets 2027'!K13</f>
        <v>317470.65</v>
      </c>
      <c r="D110" s="16"/>
      <c r="E110" s="7" t="str">
        <f aca="false">IF(D110="","",D110-C110)</f>
        <v/>
      </c>
      <c r="F110" s="8" t="str">
        <f aca="false">IF(D110="","",D110/C110-1)</f>
        <v/>
      </c>
    </row>
    <row r="111" customFormat="false" ht="15" hidden="false" customHeight="false" outlineLevel="0" collapsed="false">
      <c r="A111" s="5" t="s">
        <v>30</v>
      </c>
      <c r="B111" s="5" t="s">
        <v>13</v>
      </c>
      <c r="C111" s="13" t="n">
        <f aca="false">'Targets 2027'!L13</f>
        <v>297737.89</v>
      </c>
      <c r="D111" s="16"/>
      <c r="E111" s="7" t="str">
        <f aca="false">IF(D111="","",D111-C111)</f>
        <v/>
      </c>
      <c r="F111" s="8" t="str">
        <f aca="false">IF(D111="","",D111/C111-1)</f>
        <v/>
      </c>
    </row>
    <row r="112" customFormat="false" ht="15" hidden="false" customHeight="false" outlineLevel="0" collapsed="false">
      <c r="A112" s="5" t="s">
        <v>30</v>
      </c>
      <c r="B112" s="5" t="s">
        <v>14</v>
      </c>
      <c r="C112" s="13" t="n">
        <f aca="false">'Targets 2027'!M13</f>
        <v>322139.38</v>
      </c>
      <c r="D112" s="16"/>
      <c r="E112" s="7" t="str">
        <f aca="false">IF(D112="","",D112-C112)</f>
        <v/>
      </c>
      <c r="F112" s="8" t="str">
        <f aca="false">IF(D112="","",D112/C112-1)</f>
        <v/>
      </c>
    </row>
    <row r="113" customFormat="false" ht="15" hidden="false" customHeight="false" outlineLevel="0" collapsed="false">
      <c r="A113" s="5" t="s">
        <v>32</v>
      </c>
      <c r="B113" s="5" t="s">
        <v>3</v>
      </c>
      <c r="C113" s="13" t="n">
        <f aca="false">'Targets 2027'!B15</f>
        <v>49132.16</v>
      </c>
      <c r="D113" s="16"/>
      <c r="E113" s="7" t="str">
        <f aca="false">IF(D113="","",D113-C113)</f>
        <v/>
      </c>
      <c r="F113" s="8" t="str">
        <f aca="false">IF(D113="","",D113/C113-1)</f>
        <v/>
      </c>
    </row>
    <row r="114" customFormat="false" ht="15" hidden="false" customHeight="false" outlineLevel="0" collapsed="false">
      <c r="A114" s="5" t="s">
        <v>32</v>
      </c>
      <c r="B114" s="5" t="s">
        <v>4</v>
      </c>
      <c r="C114" s="13" t="n">
        <f aca="false">'Targets 2027'!C15</f>
        <v>47789.29</v>
      </c>
      <c r="D114" s="16"/>
      <c r="E114" s="7" t="str">
        <f aca="false">IF(D114="","",D114-C114)</f>
        <v/>
      </c>
      <c r="F114" s="8" t="str">
        <f aca="false">IF(D114="","",D114/C114-1)</f>
        <v/>
      </c>
    </row>
    <row r="115" customFormat="false" ht="15" hidden="false" customHeight="false" outlineLevel="0" collapsed="false">
      <c r="A115" s="5" t="s">
        <v>32</v>
      </c>
      <c r="B115" s="5" t="s">
        <v>5</v>
      </c>
      <c r="C115" s="13" t="n">
        <f aca="false">'Targets 2027'!D15</f>
        <v>57042.34</v>
      </c>
      <c r="D115" s="16"/>
      <c r="E115" s="7" t="str">
        <f aca="false">IF(D115="","",D115-C115)</f>
        <v/>
      </c>
      <c r="F115" s="8" t="str">
        <f aca="false">IF(D115="","",D115/C115-1)</f>
        <v/>
      </c>
    </row>
    <row r="116" customFormat="false" ht="15" hidden="false" customHeight="false" outlineLevel="0" collapsed="false">
      <c r="A116" s="5" t="s">
        <v>32</v>
      </c>
      <c r="B116" s="5" t="s">
        <v>6</v>
      </c>
      <c r="C116" s="13" t="n">
        <f aca="false">'Targets 2027'!E15</f>
        <v>58246.45</v>
      </c>
      <c r="D116" s="16"/>
      <c r="E116" s="7" t="str">
        <f aca="false">IF(D116="","",D116-C116)</f>
        <v/>
      </c>
      <c r="F116" s="8" t="str">
        <f aca="false">IF(D116="","",D116/C116-1)</f>
        <v/>
      </c>
    </row>
    <row r="117" customFormat="false" ht="15" hidden="false" customHeight="false" outlineLevel="0" collapsed="false">
      <c r="A117" s="5" t="s">
        <v>32</v>
      </c>
      <c r="B117" s="5" t="s">
        <v>7</v>
      </c>
      <c r="C117" s="13" t="n">
        <f aca="false">'Targets 2027'!F15</f>
        <v>61613.98</v>
      </c>
      <c r="D117" s="16"/>
      <c r="E117" s="7" t="str">
        <f aca="false">IF(D117="","",D117-C117)</f>
        <v/>
      </c>
      <c r="F117" s="8" t="str">
        <f aca="false">IF(D117="","",D117/C117-1)</f>
        <v/>
      </c>
    </row>
    <row r="118" customFormat="false" ht="15" hidden="false" customHeight="false" outlineLevel="0" collapsed="false">
      <c r="A118" s="5" t="s">
        <v>32</v>
      </c>
      <c r="B118" s="5" t="s">
        <v>8</v>
      </c>
      <c r="C118" s="13" t="n">
        <f aca="false">'Targets 2027'!G15</f>
        <v>59373.16</v>
      </c>
      <c r="D118" s="16"/>
      <c r="E118" s="7" t="str">
        <f aca="false">IF(D118="","",D118-C118)</f>
        <v/>
      </c>
      <c r="F118" s="8" t="str">
        <f aca="false">IF(D118="","",D118/C118-1)</f>
        <v/>
      </c>
    </row>
    <row r="119" customFormat="false" ht="15" hidden="false" customHeight="false" outlineLevel="0" collapsed="false">
      <c r="A119" s="5" t="s">
        <v>32</v>
      </c>
      <c r="B119" s="5" t="s">
        <v>9</v>
      </c>
      <c r="C119" s="13" t="n">
        <f aca="false">'Targets 2027'!H15</f>
        <v>69005.96</v>
      </c>
      <c r="D119" s="16"/>
      <c r="E119" s="7" t="str">
        <f aca="false">IF(D119="","",D119-C119)</f>
        <v/>
      </c>
      <c r="F119" s="8" t="str">
        <f aca="false">IF(D119="","",D119/C119-1)</f>
        <v/>
      </c>
    </row>
    <row r="120" customFormat="false" ht="15" hidden="false" customHeight="false" outlineLevel="0" collapsed="false">
      <c r="A120" s="5" t="s">
        <v>32</v>
      </c>
      <c r="B120" s="5" t="s">
        <v>10</v>
      </c>
      <c r="C120" s="13" t="n">
        <f aca="false">'Targets 2027'!I15</f>
        <v>63974.68</v>
      </c>
      <c r="D120" s="16"/>
      <c r="E120" s="7" t="str">
        <f aca="false">IF(D120="","",D120-C120)</f>
        <v/>
      </c>
      <c r="F120" s="8" t="str">
        <f aca="false">IF(D120="","",D120/C120-1)</f>
        <v/>
      </c>
    </row>
    <row r="121" customFormat="false" ht="15" hidden="false" customHeight="false" outlineLevel="0" collapsed="false">
      <c r="A121" s="5" t="s">
        <v>32</v>
      </c>
      <c r="B121" s="5" t="s">
        <v>11</v>
      </c>
      <c r="C121" s="13" t="n">
        <f aca="false">'Targets 2027'!J15</f>
        <v>55593.97</v>
      </c>
      <c r="D121" s="16"/>
      <c r="E121" s="7" t="str">
        <f aca="false">IF(D121="","",D121-C121)</f>
        <v/>
      </c>
      <c r="F121" s="8" t="str">
        <f aca="false">IF(D121="","",D121/C121-1)</f>
        <v/>
      </c>
    </row>
    <row r="122" customFormat="false" ht="15" hidden="false" customHeight="false" outlineLevel="0" collapsed="false">
      <c r="A122" s="5" t="s">
        <v>32</v>
      </c>
      <c r="B122" s="5" t="s">
        <v>12</v>
      </c>
      <c r="C122" s="13" t="n">
        <f aca="false">'Targets 2027'!K15</f>
        <v>125000</v>
      </c>
      <c r="D122" s="16"/>
      <c r="E122" s="7" t="str">
        <f aca="false">IF(D122="","",D122-C122)</f>
        <v/>
      </c>
      <c r="F122" s="8" t="str">
        <f aca="false">IF(D122="","",D122/C122-1)</f>
        <v/>
      </c>
    </row>
    <row r="123" customFormat="false" ht="15" hidden="false" customHeight="false" outlineLevel="0" collapsed="false">
      <c r="A123" s="5" t="s">
        <v>32</v>
      </c>
      <c r="B123" s="5" t="s">
        <v>13</v>
      </c>
      <c r="C123" s="13" t="n">
        <f aca="false">'Targets 2027'!L15</f>
        <v>125000</v>
      </c>
      <c r="D123" s="16"/>
      <c r="E123" s="7" t="str">
        <f aca="false">IF(D123="","",D123-C123)</f>
        <v/>
      </c>
      <c r="F123" s="8" t="str">
        <f aca="false">IF(D123="","",D123/C123-1)</f>
        <v/>
      </c>
    </row>
    <row r="124" customFormat="false" ht="15" hidden="false" customHeight="false" outlineLevel="0" collapsed="false">
      <c r="A124" s="5" t="s">
        <v>32</v>
      </c>
      <c r="B124" s="5" t="s">
        <v>14</v>
      </c>
      <c r="C124" s="13" t="n">
        <f aca="false">'Targets 2027'!M15</f>
        <v>125000</v>
      </c>
      <c r="D124" s="16"/>
      <c r="E124" s="7" t="str">
        <f aca="false">IF(D124="","",D124-C124)</f>
        <v/>
      </c>
      <c r="F124" s="8" t="str">
        <f aca="false">IF(D124="","",D124/C124-1)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3" t="s">
        <v>2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</row>
    <row r="5" customFormat="false" ht="15" hidden="false" customHeight="false" outlineLevel="0" collapsed="false">
      <c r="A5" s="5" t="s">
        <v>22</v>
      </c>
      <c r="B5" s="6" t="n">
        <v>1911404.64</v>
      </c>
      <c r="C5" s="6" t="n">
        <v>2577341.88</v>
      </c>
      <c r="D5" s="6" t="n">
        <v>2606461.36</v>
      </c>
      <c r="E5" s="6" t="n">
        <v>2757755.81</v>
      </c>
      <c r="F5" s="6" t="n">
        <v>2897107.25</v>
      </c>
      <c r="G5" s="13" t="n">
        <f aca="false">'Targets 2027'!R5</f>
        <v>3119407.01</v>
      </c>
      <c r="H5" s="7" t="n">
        <f aca="false">G5-E5</f>
        <v>361651.2</v>
      </c>
    </row>
    <row r="6" customFormat="false" ht="15" hidden="false" customHeight="false" outlineLevel="0" collapsed="false">
      <c r="A6" s="5" t="s">
        <v>23</v>
      </c>
      <c r="B6" s="6" t="n">
        <v>1867961.48</v>
      </c>
      <c r="C6" s="6" t="n">
        <v>2340528.33</v>
      </c>
      <c r="D6" s="6" t="n">
        <v>2302939.27</v>
      </c>
      <c r="E6" s="6" t="n">
        <v>2363933.61</v>
      </c>
      <c r="F6" s="6" t="n">
        <v>2345912.69</v>
      </c>
      <c r="G6" s="13" t="n">
        <f aca="false">'Targets 2027'!R6</f>
        <v>2641664.44</v>
      </c>
      <c r="H6" s="7" t="n">
        <f aca="false">G6-E6</f>
        <v>277730.830000001</v>
      </c>
    </row>
    <row r="7" customFormat="false" ht="15" hidden="false" customHeight="false" outlineLevel="0" collapsed="false">
      <c r="A7" s="5" t="s">
        <v>24</v>
      </c>
      <c r="B7" s="6" t="n">
        <v>3339194.47</v>
      </c>
      <c r="C7" s="6" t="n">
        <v>3696858.02</v>
      </c>
      <c r="D7" s="6" t="n">
        <v>3723643.18</v>
      </c>
      <c r="E7" s="6" t="n">
        <v>3807763.76</v>
      </c>
      <c r="F7" s="6" t="n">
        <v>3868254.76</v>
      </c>
      <c r="G7" s="13" t="n">
        <f aca="false">'Targets 2027'!R7</f>
        <v>4233666.85</v>
      </c>
      <c r="H7" s="7" t="n">
        <f aca="false">G7-E7</f>
        <v>425903.09</v>
      </c>
    </row>
    <row r="8" customFormat="false" ht="15" hidden="false" customHeight="false" outlineLevel="0" collapsed="false">
      <c r="A8" s="5" t="s">
        <v>25</v>
      </c>
      <c r="B8" s="6" t="n">
        <v>3525672.55</v>
      </c>
      <c r="C8" s="6" t="n">
        <v>4014075.13</v>
      </c>
      <c r="D8" s="6" t="n">
        <v>3987463.81</v>
      </c>
      <c r="E8" s="6" t="n">
        <v>4134497.38</v>
      </c>
      <c r="F8" s="6" t="n">
        <v>3929309.57</v>
      </c>
      <c r="G8" s="13" t="n">
        <f aca="false">'Targets 2027'!R8</f>
        <v>4307690.71</v>
      </c>
      <c r="H8" s="7" t="n">
        <f aca="false">G8-E8</f>
        <v>173193.33</v>
      </c>
    </row>
    <row r="9" customFormat="false" ht="15" hidden="false" customHeight="false" outlineLevel="0" collapsed="false">
      <c r="A9" s="5" t="s">
        <v>26</v>
      </c>
      <c r="B9" s="6" t="n">
        <v>4244562.37</v>
      </c>
      <c r="C9" s="6" t="n">
        <v>4663245.74</v>
      </c>
      <c r="D9" s="6" t="n">
        <v>4665803.06</v>
      </c>
      <c r="E9" s="6" t="n">
        <v>4709878.2</v>
      </c>
      <c r="F9" s="6" t="n">
        <v>4821807.27</v>
      </c>
      <c r="G9" s="13" t="n">
        <f aca="false">'Targets 2027'!R9</f>
        <v>5151283.7</v>
      </c>
      <c r="H9" s="7" t="n">
        <f aca="false">G9-E9</f>
        <v>441405.5</v>
      </c>
    </row>
    <row r="10" customFormat="false" ht="15" hidden="false" customHeight="false" outlineLevel="0" collapsed="false">
      <c r="A10" s="5" t="s">
        <v>27</v>
      </c>
      <c r="B10" s="6" t="n">
        <v>2737985</v>
      </c>
      <c r="C10" s="6" t="n">
        <v>2924762.7</v>
      </c>
      <c r="D10" s="6" t="n">
        <v>2904088.3</v>
      </c>
      <c r="E10" s="6" t="n">
        <v>3041753.2</v>
      </c>
      <c r="F10" s="6" t="n">
        <v>3000147.78</v>
      </c>
      <c r="G10" s="13" t="n">
        <f aca="false">'Targets 2027'!R10</f>
        <v>3127558.11</v>
      </c>
      <c r="H10" s="7" t="n">
        <f aca="false">G10-E10</f>
        <v>85804.9099999997</v>
      </c>
    </row>
    <row r="11" customFormat="false" ht="15" hidden="false" customHeight="false" outlineLevel="0" collapsed="false">
      <c r="A11" s="5" t="s">
        <v>28</v>
      </c>
      <c r="B11" s="6" t="n">
        <v>792954.62</v>
      </c>
      <c r="C11" s="6" t="n">
        <v>900742.27</v>
      </c>
      <c r="D11" s="6" t="n">
        <v>891089.16</v>
      </c>
      <c r="E11" s="6" t="n">
        <v>936771.96</v>
      </c>
      <c r="F11" s="6" t="n">
        <v>880008.54</v>
      </c>
      <c r="G11" s="13" t="n">
        <f aca="false">'Targets 2027'!R11</f>
        <v>931725.69</v>
      </c>
      <c r="H11" s="7" t="n">
        <f aca="false">G11-E11</f>
        <v>-5046.27000000002</v>
      </c>
    </row>
    <row r="12" customFormat="false" ht="15" hidden="false" customHeight="false" outlineLevel="0" collapsed="false">
      <c r="A12" s="5" t="s">
        <v>29</v>
      </c>
      <c r="B12" s="6" t="n">
        <v>2568994.82</v>
      </c>
      <c r="C12" s="6" t="n">
        <v>3293831.96</v>
      </c>
      <c r="D12" s="6" t="n">
        <v>3248637.47</v>
      </c>
      <c r="E12" s="6" t="n">
        <v>3458523.56</v>
      </c>
      <c r="F12" s="6" t="n">
        <v>3484427.01</v>
      </c>
      <c r="G12" s="13" t="n">
        <f aca="false">'Targets 2027'!R12</f>
        <v>3928095.93</v>
      </c>
      <c r="H12" s="7" t="n">
        <f aca="false">G12-E12</f>
        <v>469572.37</v>
      </c>
    </row>
    <row r="13" customFormat="false" ht="15" hidden="false" customHeight="false" outlineLevel="0" collapsed="false">
      <c r="A13" s="5" t="s">
        <v>30</v>
      </c>
      <c r="B13" s="6" t="n">
        <v>3175196.69</v>
      </c>
      <c r="C13" s="6" t="n">
        <v>3468263.82</v>
      </c>
      <c r="D13" s="6" t="n">
        <v>3464416.6</v>
      </c>
      <c r="E13" s="6" t="n">
        <v>3606994.37</v>
      </c>
      <c r="F13" s="6" t="n">
        <v>3485293.26</v>
      </c>
      <c r="G13" s="13" t="n">
        <f aca="false">'Targets 2027'!R13</f>
        <v>3854468.94</v>
      </c>
      <c r="H13" s="7" t="n">
        <f aca="false">G13-E13</f>
        <v>247474.57</v>
      </c>
    </row>
    <row r="14" customFormat="false" ht="15" hidden="false" customHeight="false" outlineLevel="0" collapsed="false">
      <c r="A14" s="5" t="s">
        <v>32</v>
      </c>
      <c r="B14" s="6" t="n">
        <v>648249.04</v>
      </c>
      <c r="C14" s="6" t="n">
        <v>628179.4</v>
      </c>
      <c r="D14" s="6" t="n">
        <v>636109.61</v>
      </c>
      <c r="E14" s="6" t="n">
        <v>867759.12</v>
      </c>
      <c r="F14" s="6" t="n">
        <v>868322.35</v>
      </c>
      <c r="G14" s="13" t="n">
        <f aca="false">'Targets 2027'!R15</f>
        <v>896771.99</v>
      </c>
      <c r="H14" s="7" t="n">
        <f aca="false">G14-E14</f>
        <v>29012.87</v>
      </c>
    </row>
    <row r="15" customFormat="false" ht="15" hidden="false" customHeight="false" outlineLevel="0" collapsed="false">
      <c r="A15" s="9" t="s">
        <v>33</v>
      </c>
      <c r="B15" s="10" t="n">
        <f aca="false">SUM(B5:B14)</f>
        <v>24812175.68</v>
      </c>
      <c r="C15" s="10" t="n">
        <f aca="false">SUM(C5:C14)</f>
        <v>28507829.25</v>
      </c>
      <c r="D15" s="10" t="n">
        <f aca="false">SUM(D5:D14)</f>
        <v>28430651.82</v>
      </c>
      <c r="E15" s="10" t="n">
        <f aca="false">SUM(E5:E14)</f>
        <v>29685630.97</v>
      </c>
      <c r="F15" s="10" t="n">
        <f aca="false">SUM(F5:F14)</f>
        <v>29580590.48</v>
      </c>
      <c r="G15" s="10" t="n">
        <f aca="false">SUM(G5:G14)</f>
        <v>32192333.37</v>
      </c>
      <c r="H15" s="10" t="n">
        <f aca="false">SUM(H5:H14)</f>
        <v>2506702.4</v>
      </c>
    </row>
    <row r="17" customFormat="false" ht="15" hidden="false" customHeight="false" outlineLevel="0" collapsed="false">
      <c r="A17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2026-10-15T19:19:36Z</dcterms:created>
  <dc:creator>openpyxl</dc:creator>
  <dc:description/>
  <dc:language>en-US</dc:language>
  <cp:lastModifiedBy/>
  <dcterms:modified xsi:type="dcterms:W3CDTF">2026-10-15T19:19:36Z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