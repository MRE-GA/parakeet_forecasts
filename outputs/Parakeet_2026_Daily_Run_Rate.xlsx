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run-rate 2026" sheetId="1" state="visible" r:id="rId3"/>
    <sheet name="Check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<sst xmlns="http://schemas.openxmlformats.org/spreadsheetml/2006/main" count="265" uniqueCount="43">
  <si>
    <t xml:space="preserve">Parakeet Café · daily sales at today's run-rate, Oct 15 – Dec 31, 2026</t>
  </si>
  <si>
    <t xml:space="preserve">Today's run-rate (the last 45 days of Toast sales, Aug 31 – Oct 14, seasonally adjusted and held flat) for the rest of 2026, by month as in the run-rate deck, split over the days by the daily model (Prophet with every special day and a tree model trained on all stores, blended, retrained through Oct 14, 2026). Every month adds up exactly to its monthly figure (see 'Check'). Blue = values from the analysis; black = formulas.</t>
  </si>
  <si>
    <t xml:space="preserve">Date</t>
  </si>
  <si>
    <t xml:space="preserve">Day</t>
  </si>
  <si>
    <t xml:space="preserve">Month</t>
  </si>
  <si>
    <t xml:space="preserve">Beverly Hills</t>
  </si>
  <si>
    <t xml:space="preserve">Brentwood</t>
  </si>
  <si>
    <t xml:space="preserve">Carlsbad</t>
  </si>
  <si>
    <t xml:space="preserve">Coronado</t>
  </si>
  <si>
    <t xml:space="preserve">Del Mar Café</t>
  </si>
  <si>
    <t xml:space="preserve">La Jolla Café</t>
  </si>
  <si>
    <t xml:space="preserve">La Jolla Juicery</t>
  </si>
  <si>
    <t xml:space="preserve">Little Italy Café</t>
  </si>
  <si>
    <t xml:space="preserve">Newport Beach</t>
  </si>
  <si>
    <t xml:space="preserve">La Jolla Cove</t>
  </si>
  <si>
    <t xml:space="preserve">Total</t>
  </si>
  <si>
    <t xml:space="preserve">Thu</t>
  </si>
  <si>
    <t xml:space="preserve">Oct 2026</t>
  </si>
  <si>
    <t xml:space="preserve">Fri</t>
  </si>
  <si>
    <t xml:space="preserve">Sat</t>
  </si>
  <si>
    <t xml:space="preserve">Sun</t>
  </si>
  <si>
    <t xml:space="preserve">Mon</t>
  </si>
  <si>
    <t xml:space="preserve">Tue</t>
  </si>
  <si>
    <t xml:space="preserve">Wed</t>
  </si>
  <si>
    <t xml:space="preserve">Nov 2026</t>
  </si>
  <si>
    <t xml:space="preserve">Dec 2026</t>
  </si>
  <si>
    <t xml:space="preserve">Check: the daily figures add up to the run-rate by month</t>
  </si>
  <si>
    <t xml:space="preserve">Monthly figures: today's run-rate for Oct 15-31, November and December 2026, adding up to the deck's 'Oct 15 – Dec 31 at run-rate'. Difference in cents: must be 0.</t>
  </si>
  <si>
    <t xml:space="preserve">Total absolute difference (cents)</t>
  </si>
  <si>
    <t xml:space="preserve">Store</t>
  </si>
  <si>
    <t xml:space="preserve">Period</t>
  </si>
  <si>
    <t xml:space="preserve">Monthly figure</t>
  </si>
  <si>
    <t xml:space="preserve">Sum of daily</t>
  </si>
  <si>
    <t xml:space="preserve">Difference (cents)</t>
  </si>
  <si>
    <t xml:space="preserve">Oct 15–31, 2026</t>
  </si>
  <si>
    <t xml:space="preserve">November 2026</t>
  </si>
  <si>
    <t xml:space="preserve">December 2026</t>
  </si>
  <si>
    <t xml:space="preserve">Oct 15 – Dec 31</t>
  </si>
  <si>
    <t xml:space="preserve">How the daily figures are built</t>
  </si>
  <si>
    <t xml:space="preserve">Monthly figures: today's run-rate as in the run-rate deck (Part 1): October 1-14 is actual sales, so October here is only Oct 15-31; November and December are whole months. The three add up to the deck's 'Oct 15 – Dec 31 at run-rate' for each café.</t>
  </si>
  <si>
    <t xml:space="preserve">Daily model: the same as for the 2027 daily targets, retrained on all data through Oct 14, 2026 (see the Notes tab of Parakeet_2027_Daily_Targets.xlsx): Prophet with every special day (Thanksgiving weekend, Christmas week, Dec 26, Halloween...) and a tree model trained on all ten stores, blended; Beverly Hills halfway to equal days.</t>
  </si>
  <si>
    <t xml:space="preserve">Each month is split in cents in proportion to the model's days, so the month adds up exactly (see 'Check'). Closed days (as in the run-rate) get no sales.</t>
  </si>
  <si>
    <t xml:space="preserve">The run-rate assumes no further growth from today's level: a café still growing will run ahead of these days.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</si>
</sst>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\$#,##0.00;&quot;($&quot;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65A5C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5A5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14" min="4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customFormat="false" ht="15" hidden="false" customHeight="false" outlineLevel="0" collapsed="false">
      <c r="A5" s="5" t="n">
        <v>46310</v>
      </c>
      <c r="B5" s="6" t="s">
        <v>16</v>
      </c>
      <c r="C5" s="6" t="s">
        <v>17</v>
      </c>
      <c r="D5" s="7" t="n">
        <v>7590.6</v>
      </c>
      <c r="E5" s="7" t="n">
        <v>5708.64</v>
      </c>
      <c r="F5" s="7" t="n">
        <v>8990.13</v>
      </c>
      <c r="G5" s="7" t="n">
        <v>7888.13</v>
      </c>
      <c r="H5" s="7" t="n">
        <v>11810.22</v>
      </c>
      <c r="I5" s="7" t="n">
        <v>7571.96</v>
      </c>
      <c r="J5" s="7" t="n">
        <v>2088.05</v>
      </c>
      <c r="K5" s="7" t="n">
        <v>7590.42</v>
      </c>
      <c r="L5" s="7" t="n">
        <v>6885.19</v>
      </c>
      <c r="M5" s="7" t="n">
        <v>1408.31</v>
      </c>
      <c r="N5" s="8" t="n">
        <f aca="false">SUM(D5:M5)</f>
        <v>67531.65</v>
      </c>
    </row>
    <row r="6" customFormat="false" ht="15" hidden="false" customHeight="false" outlineLevel="0" collapsed="false">
      <c r="A6" s="5" t="n">
        <v>46311</v>
      </c>
      <c r="B6" s="6" t="s">
        <v>18</v>
      </c>
      <c r="C6" s="6" t="s">
        <v>17</v>
      </c>
      <c r="D6" s="7" t="n">
        <v>7707.55</v>
      </c>
      <c r="E6" s="7" t="n">
        <v>6354.16</v>
      </c>
      <c r="F6" s="7" t="n">
        <v>10330.92</v>
      </c>
      <c r="G6" s="7" t="n">
        <v>9825.16</v>
      </c>
      <c r="H6" s="7" t="n">
        <v>13177.63</v>
      </c>
      <c r="I6" s="7" t="n">
        <v>8322.84</v>
      </c>
      <c r="J6" s="7" t="n">
        <v>2280.62</v>
      </c>
      <c r="K6" s="7" t="n">
        <v>9703.12</v>
      </c>
      <c r="L6" s="7" t="n">
        <v>8403.33</v>
      </c>
      <c r="M6" s="7" t="n">
        <v>1877.17</v>
      </c>
      <c r="N6" s="8" t="n">
        <f aca="false">SUM(D6:M6)</f>
        <v>77982.5</v>
      </c>
    </row>
    <row r="7" customFormat="false" ht="15" hidden="false" customHeight="false" outlineLevel="0" collapsed="false">
      <c r="A7" s="5" t="n">
        <v>46312</v>
      </c>
      <c r="B7" s="6" t="s">
        <v>19</v>
      </c>
      <c r="C7" s="6" t="s">
        <v>17</v>
      </c>
      <c r="D7" s="7" t="n">
        <v>8185.74</v>
      </c>
      <c r="E7" s="7" t="n">
        <v>8421.24</v>
      </c>
      <c r="F7" s="7" t="n">
        <v>12008.52</v>
      </c>
      <c r="G7" s="7" t="n">
        <v>13019.4</v>
      </c>
      <c r="H7" s="7" t="n">
        <v>15393.19</v>
      </c>
      <c r="I7" s="7" t="n">
        <v>9516.23</v>
      </c>
      <c r="J7" s="7" t="n">
        <v>2793.38</v>
      </c>
      <c r="K7" s="7" t="n">
        <v>12469.01</v>
      </c>
      <c r="L7" s="7" t="n">
        <v>13111.65</v>
      </c>
      <c r="M7" s="7" t="n">
        <v>2509.92</v>
      </c>
      <c r="N7" s="8" t="n">
        <f aca="false">SUM(D7:M7)</f>
        <v>97428.28</v>
      </c>
    </row>
    <row r="8" customFormat="false" ht="15" hidden="false" customHeight="false" outlineLevel="0" collapsed="false">
      <c r="A8" s="5" t="n">
        <v>46313</v>
      </c>
      <c r="B8" s="6" t="s">
        <v>20</v>
      </c>
      <c r="C8" s="6" t="s">
        <v>17</v>
      </c>
      <c r="D8" s="7" t="n">
        <v>8035.3</v>
      </c>
      <c r="E8" s="7" t="n">
        <v>8212.62</v>
      </c>
      <c r="F8" s="7" t="n">
        <v>11423.25</v>
      </c>
      <c r="G8" s="7" t="n">
        <v>12956.52</v>
      </c>
      <c r="H8" s="7" t="n">
        <v>15070.27</v>
      </c>
      <c r="I8" s="7" t="n">
        <v>8982.97</v>
      </c>
      <c r="J8" s="7" t="n">
        <v>2415.91</v>
      </c>
      <c r="K8" s="7" t="n">
        <v>12315.82</v>
      </c>
      <c r="L8" s="7" t="n">
        <v>13718.06</v>
      </c>
      <c r="M8" s="7" t="n">
        <v>2537.04</v>
      </c>
      <c r="N8" s="8" t="n">
        <f aca="false">SUM(D8:M8)</f>
        <v>95667.76</v>
      </c>
    </row>
    <row r="9" customFormat="false" ht="15" hidden="false" customHeight="false" outlineLevel="0" collapsed="false">
      <c r="A9" s="5" t="n">
        <v>46314</v>
      </c>
      <c r="B9" s="6" t="s">
        <v>21</v>
      </c>
      <c r="C9" s="6" t="s">
        <v>17</v>
      </c>
      <c r="D9" s="7" t="n">
        <v>7092.48</v>
      </c>
      <c r="E9" s="7" t="n">
        <v>5242.72</v>
      </c>
      <c r="F9" s="7" t="n">
        <v>7744.44</v>
      </c>
      <c r="G9" s="7" t="n">
        <v>7663.5</v>
      </c>
      <c r="H9" s="7" t="n">
        <v>10036.14</v>
      </c>
      <c r="I9" s="7" t="n">
        <v>6969.65</v>
      </c>
      <c r="J9" s="7" t="n">
        <v>1990.71</v>
      </c>
      <c r="K9" s="7" t="n">
        <v>7400.67</v>
      </c>
      <c r="L9" s="7" t="n">
        <v>6483.46</v>
      </c>
      <c r="M9" s="7" t="n">
        <v>1376.53</v>
      </c>
      <c r="N9" s="8" t="n">
        <f aca="false">SUM(D9:M9)</f>
        <v>62000.3</v>
      </c>
    </row>
    <row r="10" customFormat="false" ht="15" hidden="false" customHeight="false" outlineLevel="0" collapsed="false">
      <c r="A10" s="5" t="n">
        <v>46315</v>
      </c>
      <c r="B10" s="6" t="s">
        <v>22</v>
      </c>
      <c r="C10" s="6" t="s">
        <v>17</v>
      </c>
      <c r="D10" s="7" t="n">
        <v>7290.95</v>
      </c>
      <c r="E10" s="7" t="n">
        <v>5174.83</v>
      </c>
      <c r="F10" s="7" t="n">
        <v>7668.09</v>
      </c>
      <c r="G10" s="7" t="n">
        <v>6887.88</v>
      </c>
      <c r="H10" s="7" t="n">
        <v>10338.79</v>
      </c>
      <c r="I10" s="7" t="n">
        <v>6813.91</v>
      </c>
      <c r="J10" s="7" t="n">
        <v>1962.8</v>
      </c>
      <c r="K10" s="7" t="n">
        <v>6159.31</v>
      </c>
      <c r="L10" s="7" t="n">
        <v>6105.04</v>
      </c>
      <c r="M10" s="7" t="n">
        <v>1163.69</v>
      </c>
      <c r="N10" s="8" t="n">
        <f aca="false">SUM(D10:M10)</f>
        <v>59565.29</v>
      </c>
    </row>
    <row r="11" customFormat="false" ht="15" hidden="false" customHeight="false" outlineLevel="0" collapsed="false">
      <c r="A11" s="5" t="n">
        <v>46316</v>
      </c>
      <c r="B11" s="6" t="s">
        <v>23</v>
      </c>
      <c r="C11" s="6" t="s">
        <v>17</v>
      </c>
      <c r="D11" s="7" t="n">
        <v>7395.02</v>
      </c>
      <c r="E11" s="7" t="n">
        <v>5439.85</v>
      </c>
      <c r="F11" s="7" t="n">
        <v>8223.93</v>
      </c>
      <c r="G11" s="7" t="n">
        <v>7281.82</v>
      </c>
      <c r="H11" s="7" t="n">
        <v>11112.21</v>
      </c>
      <c r="I11" s="7" t="n">
        <v>6865.51</v>
      </c>
      <c r="J11" s="7" t="n">
        <v>2035.4</v>
      </c>
      <c r="K11" s="7" t="n">
        <v>6423.97</v>
      </c>
      <c r="L11" s="7" t="n">
        <v>6487.54</v>
      </c>
      <c r="M11" s="7" t="n">
        <v>1169.26</v>
      </c>
      <c r="N11" s="8" t="n">
        <f aca="false">SUM(D11:M11)</f>
        <v>62434.51</v>
      </c>
    </row>
    <row r="12" customFormat="false" ht="15" hidden="false" customHeight="false" outlineLevel="0" collapsed="false">
      <c r="A12" s="5" t="n">
        <v>46317</v>
      </c>
      <c r="B12" s="6" t="s">
        <v>16</v>
      </c>
      <c r="C12" s="6" t="s">
        <v>17</v>
      </c>
      <c r="D12" s="7" t="n">
        <v>7398.55</v>
      </c>
      <c r="E12" s="7" t="n">
        <v>5560.61</v>
      </c>
      <c r="F12" s="7" t="n">
        <v>8583.33</v>
      </c>
      <c r="G12" s="7" t="n">
        <v>7596.15</v>
      </c>
      <c r="H12" s="7" t="n">
        <v>11625.11</v>
      </c>
      <c r="I12" s="7" t="n">
        <v>7195.16</v>
      </c>
      <c r="J12" s="7" t="n">
        <v>2099.02</v>
      </c>
      <c r="K12" s="7" t="n">
        <v>6823.65</v>
      </c>
      <c r="L12" s="7" t="n">
        <v>6860.95</v>
      </c>
      <c r="M12" s="7" t="n">
        <v>1369.15</v>
      </c>
      <c r="N12" s="8" t="n">
        <f aca="false">SUM(D12:M12)</f>
        <v>65111.68</v>
      </c>
    </row>
    <row r="13" customFormat="false" ht="15" hidden="false" customHeight="false" outlineLevel="0" collapsed="false">
      <c r="A13" s="5" t="n">
        <v>46318</v>
      </c>
      <c r="B13" s="6" t="s">
        <v>18</v>
      </c>
      <c r="C13" s="6" t="s">
        <v>17</v>
      </c>
      <c r="D13" s="7" t="n">
        <v>7512.36</v>
      </c>
      <c r="E13" s="7" t="n">
        <v>6245.01</v>
      </c>
      <c r="F13" s="7" t="n">
        <v>10006.89</v>
      </c>
      <c r="G13" s="7" t="n">
        <v>9393.82</v>
      </c>
      <c r="H13" s="7" t="n">
        <v>12886.31</v>
      </c>
      <c r="I13" s="7" t="n">
        <v>7950.49</v>
      </c>
      <c r="J13" s="7" t="n">
        <v>2254.3</v>
      </c>
      <c r="K13" s="7" t="n">
        <v>8687.48</v>
      </c>
      <c r="L13" s="7" t="n">
        <v>8232.33</v>
      </c>
      <c r="M13" s="7" t="n">
        <v>1776.49</v>
      </c>
      <c r="N13" s="8" t="n">
        <f aca="false">SUM(D13:M13)</f>
        <v>74945.48</v>
      </c>
    </row>
    <row r="14" customFormat="false" ht="15" hidden="false" customHeight="false" outlineLevel="0" collapsed="false">
      <c r="A14" s="5" t="n">
        <v>46319</v>
      </c>
      <c r="B14" s="6" t="s">
        <v>19</v>
      </c>
      <c r="C14" s="6" t="s">
        <v>17</v>
      </c>
      <c r="D14" s="7" t="n">
        <v>7985.36</v>
      </c>
      <c r="E14" s="7" t="n">
        <v>8346.19</v>
      </c>
      <c r="F14" s="7" t="n">
        <v>11837.38</v>
      </c>
      <c r="G14" s="7" t="n">
        <v>12575.95</v>
      </c>
      <c r="H14" s="7" t="n">
        <v>14966.27</v>
      </c>
      <c r="I14" s="7" t="n">
        <v>9068.42</v>
      </c>
      <c r="J14" s="7" t="n">
        <v>2713.14</v>
      </c>
      <c r="K14" s="7" t="n">
        <v>11132.26</v>
      </c>
      <c r="L14" s="7" t="n">
        <v>12997.22</v>
      </c>
      <c r="M14" s="7" t="n">
        <v>2391.96</v>
      </c>
      <c r="N14" s="8" t="n">
        <f aca="false">SUM(D14:M14)</f>
        <v>94014.15</v>
      </c>
    </row>
    <row r="15" customFormat="false" ht="15" hidden="false" customHeight="false" outlineLevel="0" collapsed="false">
      <c r="A15" s="5" t="n">
        <v>46320</v>
      </c>
      <c r="B15" s="6" t="s">
        <v>20</v>
      </c>
      <c r="C15" s="6" t="s">
        <v>17</v>
      </c>
      <c r="D15" s="7" t="n">
        <v>7824.53</v>
      </c>
      <c r="E15" s="7" t="n">
        <v>8117.5</v>
      </c>
      <c r="F15" s="7" t="n">
        <v>11137.3</v>
      </c>
      <c r="G15" s="7" t="n">
        <v>12130.21</v>
      </c>
      <c r="H15" s="7" t="n">
        <v>14337.18</v>
      </c>
      <c r="I15" s="7" t="n">
        <v>8311.59</v>
      </c>
      <c r="J15" s="7" t="n">
        <v>2286.76</v>
      </c>
      <c r="K15" s="7" t="n">
        <v>10298.69</v>
      </c>
      <c r="L15" s="7" t="n">
        <v>13383.97</v>
      </c>
      <c r="M15" s="7" t="n">
        <v>2314.55</v>
      </c>
      <c r="N15" s="8" t="n">
        <f aca="false">SUM(D15:M15)</f>
        <v>90142.28</v>
      </c>
    </row>
    <row r="16" customFormat="false" ht="15" hidden="false" customHeight="false" outlineLevel="0" collapsed="false">
      <c r="A16" s="5" t="n">
        <v>46321</v>
      </c>
      <c r="B16" s="6" t="s">
        <v>21</v>
      </c>
      <c r="C16" s="6" t="s">
        <v>17</v>
      </c>
      <c r="D16" s="7" t="n">
        <v>7086.96</v>
      </c>
      <c r="E16" s="7" t="n">
        <v>5526.34</v>
      </c>
      <c r="F16" s="7" t="n">
        <v>8103.06</v>
      </c>
      <c r="G16" s="7" t="n">
        <v>7576.41</v>
      </c>
      <c r="H16" s="7" t="n">
        <v>10091.75</v>
      </c>
      <c r="I16" s="7" t="n">
        <v>6839.69</v>
      </c>
      <c r="J16" s="7" t="n">
        <v>2041.33</v>
      </c>
      <c r="K16" s="7" t="n">
        <v>6664.99</v>
      </c>
      <c r="L16" s="7" t="n">
        <v>6620.12</v>
      </c>
      <c r="M16" s="7" t="n">
        <v>1276.62</v>
      </c>
      <c r="N16" s="8" t="n">
        <f aca="false">SUM(D16:M16)</f>
        <v>61827.27</v>
      </c>
    </row>
    <row r="17" customFormat="false" ht="15" hidden="false" customHeight="false" outlineLevel="0" collapsed="false">
      <c r="A17" s="5" t="n">
        <v>46322</v>
      </c>
      <c r="B17" s="6" t="s">
        <v>22</v>
      </c>
      <c r="C17" s="6" t="s">
        <v>17</v>
      </c>
      <c r="D17" s="7" t="n">
        <v>7355.98</v>
      </c>
      <c r="E17" s="7" t="n">
        <v>5613.6</v>
      </c>
      <c r="F17" s="7" t="n">
        <v>8241.4</v>
      </c>
      <c r="G17" s="7" t="n">
        <v>6924.85</v>
      </c>
      <c r="H17" s="7" t="n">
        <v>10599.27</v>
      </c>
      <c r="I17" s="7" t="n">
        <v>6777.61</v>
      </c>
      <c r="J17" s="7" t="n">
        <v>2036.89</v>
      </c>
      <c r="K17" s="7" t="n">
        <v>5785.42</v>
      </c>
      <c r="L17" s="7" t="n">
        <v>6354.85</v>
      </c>
      <c r="M17" s="7" t="n">
        <v>1098.2</v>
      </c>
      <c r="N17" s="8" t="n">
        <f aca="false">SUM(D17:M17)</f>
        <v>60788.07</v>
      </c>
    </row>
    <row r="18" customFormat="false" ht="15" hidden="false" customHeight="false" outlineLevel="0" collapsed="false">
      <c r="A18" s="5" t="n">
        <v>46323</v>
      </c>
      <c r="B18" s="6" t="s">
        <v>23</v>
      </c>
      <c r="C18" s="6" t="s">
        <v>17</v>
      </c>
      <c r="D18" s="7" t="n">
        <v>7367.76</v>
      </c>
      <c r="E18" s="7" t="n">
        <v>5790.9</v>
      </c>
      <c r="F18" s="7" t="n">
        <v>8669.34</v>
      </c>
      <c r="G18" s="7" t="n">
        <v>7102.5</v>
      </c>
      <c r="H18" s="7" t="n">
        <v>11219.58</v>
      </c>
      <c r="I18" s="7" t="n">
        <v>6711.11</v>
      </c>
      <c r="J18" s="7" t="n">
        <v>2061.51</v>
      </c>
      <c r="K18" s="7" t="n">
        <v>6033.96</v>
      </c>
      <c r="L18" s="7" t="n">
        <v>6589.23</v>
      </c>
      <c r="M18" s="7" t="n">
        <v>1072.08</v>
      </c>
      <c r="N18" s="8" t="n">
        <f aca="false">SUM(D18:M18)</f>
        <v>62617.97</v>
      </c>
    </row>
    <row r="19" customFormat="false" ht="15" hidden="false" customHeight="false" outlineLevel="0" collapsed="false">
      <c r="A19" s="5" t="n">
        <v>46324</v>
      </c>
      <c r="B19" s="6" t="s">
        <v>16</v>
      </c>
      <c r="C19" s="6" t="s">
        <v>17</v>
      </c>
      <c r="D19" s="7" t="n">
        <v>7404.35</v>
      </c>
      <c r="E19" s="7" t="n">
        <v>5950.54</v>
      </c>
      <c r="F19" s="7" t="n">
        <v>9118.9</v>
      </c>
      <c r="G19" s="7" t="n">
        <v>7570.23</v>
      </c>
      <c r="H19" s="7" t="n">
        <v>11711.14</v>
      </c>
      <c r="I19" s="7" t="n">
        <v>7068.63</v>
      </c>
      <c r="J19" s="7" t="n">
        <v>2132.56</v>
      </c>
      <c r="K19" s="7" t="n">
        <v>6481.09</v>
      </c>
      <c r="L19" s="7" t="n">
        <v>6954.72</v>
      </c>
      <c r="M19" s="7" t="n">
        <v>1251.63</v>
      </c>
      <c r="N19" s="8" t="n">
        <f aca="false">SUM(D19:M19)</f>
        <v>65643.79</v>
      </c>
    </row>
    <row r="20" customFormat="false" ht="15" hidden="false" customHeight="false" outlineLevel="0" collapsed="false">
      <c r="A20" s="5" t="n">
        <v>46325</v>
      </c>
      <c r="B20" s="6" t="s">
        <v>18</v>
      </c>
      <c r="C20" s="6" t="s">
        <v>17</v>
      </c>
      <c r="D20" s="7" t="n">
        <v>7498.35</v>
      </c>
      <c r="E20" s="7" t="n">
        <v>6640.96</v>
      </c>
      <c r="F20" s="7" t="n">
        <v>10608.96</v>
      </c>
      <c r="G20" s="7" t="n">
        <v>9400.58</v>
      </c>
      <c r="H20" s="7" t="n">
        <v>13030.45</v>
      </c>
      <c r="I20" s="7" t="n">
        <v>7759.25</v>
      </c>
      <c r="J20" s="7" t="n">
        <v>2275.78</v>
      </c>
      <c r="K20" s="7" t="n">
        <v>8413.71</v>
      </c>
      <c r="L20" s="7" t="n">
        <v>8260.09</v>
      </c>
      <c r="M20" s="7" t="n">
        <v>1636.8</v>
      </c>
      <c r="N20" s="8" t="n">
        <f aca="false">SUM(D20:M20)</f>
        <v>75524.93</v>
      </c>
    </row>
    <row r="21" customFormat="false" ht="15" hidden="false" customHeight="false" outlineLevel="0" collapsed="false">
      <c r="A21" s="5" t="n">
        <v>46326</v>
      </c>
      <c r="B21" s="6" t="s">
        <v>19</v>
      </c>
      <c r="C21" s="6" t="s">
        <v>17</v>
      </c>
      <c r="D21" s="7" t="n">
        <v>7693</v>
      </c>
      <c r="E21" s="7" t="n">
        <v>8421.65</v>
      </c>
      <c r="F21" s="7" t="n">
        <v>10931.85</v>
      </c>
      <c r="G21" s="7" t="n">
        <v>11880.39</v>
      </c>
      <c r="H21" s="7" t="n">
        <v>13551.26</v>
      </c>
      <c r="I21" s="7" t="n">
        <v>8387.7</v>
      </c>
      <c r="J21" s="7" t="n">
        <v>2521.3</v>
      </c>
      <c r="K21" s="7" t="n">
        <v>10044.9</v>
      </c>
      <c r="L21" s="7" t="n">
        <v>11466.71</v>
      </c>
      <c r="M21" s="7" t="n">
        <v>1911.21</v>
      </c>
      <c r="N21" s="8" t="n">
        <f aca="false">SUM(D21:M21)</f>
        <v>86809.97</v>
      </c>
    </row>
    <row r="22" customFormat="false" ht="15" hidden="false" customHeight="false" outlineLevel="0" collapsed="false">
      <c r="A22" s="5" t="n">
        <v>46327</v>
      </c>
      <c r="B22" s="6" t="s">
        <v>20</v>
      </c>
      <c r="C22" s="6" t="s">
        <v>24</v>
      </c>
      <c r="D22" s="7" t="n">
        <v>8094.01</v>
      </c>
      <c r="E22" s="7" t="n">
        <v>8651.11</v>
      </c>
      <c r="F22" s="7" t="n">
        <v>12012.5</v>
      </c>
      <c r="G22" s="7" t="n">
        <v>12214.12</v>
      </c>
      <c r="H22" s="7" t="n">
        <v>14487.57</v>
      </c>
      <c r="I22" s="7" t="n">
        <v>8484.11</v>
      </c>
      <c r="J22" s="7" t="n">
        <v>2244.74</v>
      </c>
      <c r="K22" s="7" t="n">
        <v>11267.5</v>
      </c>
      <c r="L22" s="7" t="n">
        <v>13473.91</v>
      </c>
      <c r="M22" s="7" t="n">
        <v>2186.96</v>
      </c>
      <c r="N22" s="8" t="n">
        <f aca="false">SUM(D22:M22)</f>
        <v>93116.53</v>
      </c>
    </row>
    <row r="23" customFormat="false" ht="15" hidden="false" customHeight="false" outlineLevel="0" collapsed="false">
      <c r="A23" s="5" t="n">
        <v>46328</v>
      </c>
      <c r="B23" s="6" t="s">
        <v>21</v>
      </c>
      <c r="C23" s="6" t="s">
        <v>24</v>
      </c>
      <c r="D23" s="7" t="n">
        <v>7444.17</v>
      </c>
      <c r="E23" s="7" t="n">
        <v>5835.47</v>
      </c>
      <c r="F23" s="7" t="n">
        <v>8569.32</v>
      </c>
      <c r="G23" s="7" t="n">
        <v>7184.57</v>
      </c>
      <c r="H23" s="7" t="n">
        <v>10144.16</v>
      </c>
      <c r="I23" s="7" t="n">
        <v>6900.18</v>
      </c>
      <c r="J23" s="7" t="n">
        <v>1891.21</v>
      </c>
      <c r="K23" s="7" t="n">
        <v>7036.01</v>
      </c>
      <c r="L23" s="7" t="n">
        <v>6586.65</v>
      </c>
      <c r="M23" s="7" t="n">
        <v>1196.03</v>
      </c>
      <c r="N23" s="8" t="n">
        <f aca="false">SUM(D23:M23)</f>
        <v>62787.77</v>
      </c>
    </row>
    <row r="24" customFormat="false" ht="15" hidden="false" customHeight="false" outlineLevel="0" collapsed="false">
      <c r="A24" s="5" t="n">
        <v>46329</v>
      </c>
      <c r="B24" s="6" t="s">
        <v>22</v>
      </c>
      <c r="C24" s="6" t="s">
        <v>24</v>
      </c>
      <c r="D24" s="7" t="n">
        <v>7605.54</v>
      </c>
      <c r="E24" s="7" t="n">
        <v>5679.36</v>
      </c>
      <c r="F24" s="7" t="n">
        <v>8520.28</v>
      </c>
      <c r="G24" s="7" t="n">
        <v>6501.46</v>
      </c>
      <c r="H24" s="7" t="n">
        <v>10488.04</v>
      </c>
      <c r="I24" s="7" t="n">
        <v>6812.43</v>
      </c>
      <c r="J24" s="7" t="n">
        <v>1875.52</v>
      </c>
      <c r="K24" s="7" t="n">
        <v>6192.69</v>
      </c>
      <c r="L24" s="7" t="n">
        <v>6112.03</v>
      </c>
      <c r="M24" s="7" t="n">
        <v>1033.61</v>
      </c>
      <c r="N24" s="8" t="n">
        <f aca="false">SUM(D24:M24)</f>
        <v>60820.96</v>
      </c>
    </row>
    <row r="25" customFormat="false" ht="15" hidden="false" customHeight="false" outlineLevel="0" collapsed="false">
      <c r="A25" s="5" t="n">
        <v>46330</v>
      </c>
      <c r="B25" s="6" t="s">
        <v>23</v>
      </c>
      <c r="C25" s="6" t="s">
        <v>24</v>
      </c>
      <c r="D25" s="7" t="n">
        <v>7697.89</v>
      </c>
      <c r="E25" s="7" t="n">
        <v>5859.85</v>
      </c>
      <c r="F25" s="7" t="n">
        <v>9092.88</v>
      </c>
      <c r="G25" s="7" t="n">
        <v>7010.51</v>
      </c>
      <c r="H25" s="7" t="n">
        <v>11144.27</v>
      </c>
      <c r="I25" s="7" t="n">
        <v>6975.35</v>
      </c>
      <c r="J25" s="7" t="n">
        <v>2008.86</v>
      </c>
      <c r="K25" s="7" t="n">
        <v>6666.48</v>
      </c>
      <c r="L25" s="7" t="n">
        <v>6605.14</v>
      </c>
      <c r="M25" s="7" t="n">
        <v>1134.87</v>
      </c>
      <c r="N25" s="8" t="n">
        <f aca="false">SUM(D25:M25)</f>
        <v>64196.1</v>
      </c>
    </row>
    <row r="26" customFormat="false" ht="15" hidden="false" customHeight="false" outlineLevel="0" collapsed="false">
      <c r="A26" s="5" t="n">
        <v>46331</v>
      </c>
      <c r="B26" s="6" t="s">
        <v>16</v>
      </c>
      <c r="C26" s="6" t="s">
        <v>24</v>
      </c>
      <c r="D26" s="7" t="n">
        <v>7749.63</v>
      </c>
      <c r="E26" s="7" t="n">
        <v>5957.38</v>
      </c>
      <c r="F26" s="7" t="n">
        <v>9421.89</v>
      </c>
      <c r="G26" s="7" t="n">
        <v>7472.62</v>
      </c>
      <c r="H26" s="7" t="n">
        <v>11605.21</v>
      </c>
      <c r="I26" s="7" t="n">
        <v>7334.38</v>
      </c>
      <c r="J26" s="7" t="n">
        <v>2079.29</v>
      </c>
      <c r="K26" s="7" t="n">
        <v>7044.28</v>
      </c>
      <c r="L26" s="7" t="n">
        <v>6856.5</v>
      </c>
      <c r="M26" s="7" t="n">
        <v>1261.52</v>
      </c>
      <c r="N26" s="8" t="n">
        <f aca="false">SUM(D26:M26)</f>
        <v>66782.7</v>
      </c>
    </row>
    <row r="27" customFormat="false" ht="15" hidden="false" customHeight="false" outlineLevel="0" collapsed="false">
      <c r="A27" s="5" t="n">
        <v>46332</v>
      </c>
      <c r="B27" s="6" t="s">
        <v>18</v>
      </c>
      <c r="C27" s="6" t="s">
        <v>24</v>
      </c>
      <c r="D27" s="7" t="n">
        <v>7882.87</v>
      </c>
      <c r="E27" s="7" t="n">
        <v>6625.96</v>
      </c>
      <c r="F27" s="7" t="n">
        <v>10805.28</v>
      </c>
      <c r="G27" s="7" t="n">
        <v>9315.33</v>
      </c>
      <c r="H27" s="7" t="n">
        <v>12788.14</v>
      </c>
      <c r="I27" s="7" t="n">
        <v>7979.36</v>
      </c>
      <c r="J27" s="7" t="n">
        <v>2200.57</v>
      </c>
      <c r="K27" s="7" t="n">
        <v>9142.05</v>
      </c>
      <c r="L27" s="7" t="n">
        <v>8182.86</v>
      </c>
      <c r="M27" s="7" t="n">
        <v>1637.7</v>
      </c>
      <c r="N27" s="8" t="n">
        <f aca="false">SUM(D27:M27)</f>
        <v>76560.12</v>
      </c>
    </row>
    <row r="28" customFormat="false" ht="15" hidden="false" customHeight="false" outlineLevel="0" collapsed="false">
      <c r="A28" s="5" t="n">
        <v>46333</v>
      </c>
      <c r="B28" s="6" t="s">
        <v>19</v>
      </c>
      <c r="C28" s="6" t="s">
        <v>24</v>
      </c>
      <c r="D28" s="7" t="n">
        <v>8397.83</v>
      </c>
      <c r="E28" s="7" t="n">
        <v>8881.12</v>
      </c>
      <c r="F28" s="7" t="n">
        <v>12742.93</v>
      </c>
      <c r="G28" s="7" t="n">
        <v>12668.06</v>
      </c>
      <c r="H28" s="7" t="n">
        <v>15009.79</v>
      </c>
      <c r="I28" s="7" t="n">
        <v>9288.76</v>
      </c>
      <c r="J28" s="7" t="n">
        <v>2633.81</v>
      </c>
      <c r="K28" s="7" t="n">
        <v>12027.34</v>
      </c>
      <c r="L28" s="7" t="n">
        <v>12984.67</v>
      </c>
      <c r="M28" s="7" t="n">
        <v>2307.82</v>
      </c>
      <c r="N28" s="8" t="n">
        <f aca="false">SUM(D28:M28)</f>
        <v>96942.13</v>
      </c>
    </row>
    <row r="29" customFormat="false" ht="15" hidden="false" customHeight="false" outlineLevel="0" collapsed="false">
      <c r="A29" s="5" t="n">
        <v>46334</v>
      </c>
      <c r="B29" s="6" t="s">
        <v>20</v>
      </c>
      <c r="C29" s="6" t="s">
        <v>24</v>
      </c>
      <c r="D29" s="7" t="n">
        <v>8304.89</v>
      </c>
      <c r="E29" s="7" t="n">
        <v>8653.36</v>
      </c>
      <c r="F29" s="7" t="n">
        <v>12185.36</v>
      </c>
      <c r="G29" s="7" t="n">
        <v>12501.41</v>
      </c>
      <c r="H29" s="7" t="n">
        <v>14691.89</v>
      </c>
      <c r="I29" s="7" t="n">
        <v>8888.47</v>
      </c>
      <c r="J29" s="7" t="n">
        <v>2267.49</v>
      </c>
      <c r="K29" s="7" t="n">
        <v>11985.46</v>
      </c>
      <c r="L29" s="7" t="n">
        <v>13570.55</v>
      </c>
      <c r="M29" s="7" t="n">
        <v>2297.35</v>
      </c>
      <c r="N29" s="8" t="n">
        <f aca="false">SUM(D29:M29)</f>
        <v>95346.23</v>
      </c>
    </row>
    <row r="30" customFormat="false" ht="15" hidden="false" customHeight="false" outlineLevel="0" collapsed="false">
      <c r="A30" s="5" t="n">
        <v>46335</v>
      </c>
      <c r="B30" s="6" t="s">
        <v>21</v>
      </c>
      <c r="C30" s="6" t="s">
        <v>24</v>
      </c>
      <c r="D30" s="7" t="n">
        <v>7592.81</v>
      </c>
      <c r="E30" s="7" t="n">
        <v>5966.18</v>
      </c>
      <c r="F30" s="7" t="n">
        <v>8748.58</v>
      </c>
      <c r="G30" s="7" t="n">
        <v>7464.68</v>
      </c>
      <c r="H30" s="7" t="n">
        <v>10262.55</v>
      </c>
      <c r="I30" s="7" t="n">
        <v>7175.98</v>
      </c>
      <c r="J30" s="7" t="n">
        <v>1978.76</v>
      </c>
      <c r="K30" s="7" t="n">
        <v>7711.04</v>
      </c>
      <c r="L30" s="7" t="n">
        <v>6683.75</v>
      </c>
      <c r="M30" s="7" t="n">
        <v>1293.43</v>
      </c>
      <c r="N30" s="8" t="n">
        <f aca="false">SUM(D30:M30)</f>
        <v>64877.76</v>
      </c>
    </row>
    <row r="31" customFormat="false" ht="15" hidden="false" customHeight="false" outlineLevel="0" collapsed="false">
      <c r="A31" s="5" t="n">
        <v>46336</v>
      </c>
      <c r="B31" s="6" t="s">
        <v>22</v>
      </c>
      <c r="C31" s="6" t="s">
        <v>24</v>
      </c>
      <c r="D31" s="7" t="n">
        <v>7862.64</v>
      </c>
      <c r="E31" s="7" t="n">
        <v>5950.92</v>
      </c>
      <c r="F31" s="7" t="n">
        <v>8913.16</v>
      </c>
      <c r="G31" s="7" t="n">
        <v>6793.15</v>
      </c>
      <c r="H31" s="7" t="n">
        <v>10781.19</v>
      </c>
      <c r="I31" s="7" t="n">
        <v>7150.44</v>
      </c>
      <c r="J31" s="7" t="n">
        <v>1958.72</v>
      </c>
      <c r="K31" s="7" t="n">
        <v>6707.36</v>
      </c>
      <c r="L31" s="7" t="n">
        <v>6288.45</v>
      </c>
      <c r="M31" s="7" t="n">
        <v>1099.11</v>
      </c>
      <c r="N31" s="8" t="n">
        <f aca="false">SUM(D31:M31)</f>
        <v>63505.14</v>
      </c>
    </row>
    <row r="32" customFormat="false" ht="15" hidden="false" customHeight="false" outlineLevel="0" collapsed="false">
      <c r="A32" s="5" t="n">
        <v>46337</v>
      </c>
      <c r="B32" s="6" t="s">
        <v>23</v>
      </c>
      <c r="C32" s="6" t="s">
        <v>24</v>
      </c>
      <c r="D32" s="7" t="n">
        <v>8012.5</v>
      </c>
      <c r="E32" s="7" t="n">
        <v>6486.32</v>
      </c>
      <c r="F32" s="7" t="n">
        <v>10700.99</v>
      </c>
      <c r="G32" s="7" t="n">
        <v>8872.26</v>
      </c>
      <c r="H32" s="7" t="n">
        <v>12894.79</v>
      </c>
      <c r="I32" s="7" t="n">
        <v>8091.21</v>
      </c>
      <c r="J32" s="7" t="n">
        <v>2097.59</v>
      </c>
      <c r="K32" s="7" t="n">
        <v>8487.23</v>
      </c>
      <c r="L32" s="7" t="n">
        <v>8759.86</v>
      </c>
      <c r="M32" s="7" t="n">
        <v>1465.35</v>
      </c>
      <c r="N32" s="8" t="n">
        <f aca="false">SUM(D32:M32)</f>
        <v>75868.1</v>
      </c>
    </row>
    <row r="33" customFormat="false" ht="15" hidden="false" customHeight="false" outlineLevel="0" collapsed="false">
      <c r="A33" s="5" t="n">
        <v>46338</v>
      </c>
      <c r="B33" s="6" t="s">
        <v>16</v>
      </c>
      <c r="C33" s="6" t="s">
        <v>24</v>
      </c>
      <c r="D33" s="7" t="n">
        <v>7789.4</v>
      </c>
      <c r="E33" s="7" t="n">
        <v>6151.82</v>
      </c>
      <c r="F33" s="7" t="n">
        <v>9493.67</v>
      </c>
      <c r="G33" s="7" t="n">
        <v>7087.34</v>
      </c>
      <c r="H33" s="7" t="n">
        <v>11610.21</v>
      </c>
      <c r="I33" s="7" t="n">
        <v>7275.88</v>
      </c>
      <c r="J33" s="7" t="n">
        <v>1979.68</v>
      </c>
      <c r="K33" s="7" t="n">
        <v>7108.73</v>
      </c>
      <c r="L33" s="7" t="n">
        <v>6424.87</v>
      </c>
      <c r="M33" s="7" t="n">
        <v>1138.74</v>
      </c>
      <c r="N33" s="8" t="n">
        <f aca="false">SUM(D33:M33)</f>
        <v>66060.34</v>
      </c>
    </row>
    <row r="34" customFormat="false" ht="15" hidden="false" customHeight="false" outlineLevel="0" collapsed="false">
      <c r="A34" s="5" t="n">
        <v>46339</v>
      </c>
      <c r="B34" s="6" t="s">
        <v>18</v>
      </c>
      <c r="C34" s="6" t="s">
        <v>24</v>
      </c>
      <c r="D34" s="7" t="n">
        <v>7956.69</v>
      </c>
      <c r="E34" s="7" t="n">
        <v>6794.73</v>
      </c>
      <c r="F34" s="7" t="n">
        <v>10819.57</v>
      </c>
      <c r="G34" s="7" t="n">
        <v>8734.77</v>
      </c>
      <c r="H34" s="7" t="n">
        <v>12723</v>
      </c>
      <c r="I34" s="7" t="n">
        <v>8002.97</v>
      </c>
      <c r="J34" s="7" t="n">
        <v>2104.89</v>
      </c>
      <c r="K34" s="7" t="n">
        <v>9097.99</v>
      </c>
      <c r="L34" s="7" t="n">
        <v>7686.48</v>
      </c>
      <c r="M34" s="7" t="n">
        <v>1504.91</v>
      </c>
      <c r="N34" s="8" t="n">
        <f aca="false">SUM(D34:M34)</f>
        <v>75426</v>
      </c>
    </row>
    <row r="35" customFormat="false" ht="15" hidden="false" customHeight="false" outlineLevel="0" collapsed="false">
      <c r="A35" s="5" t="n">
        <v>46340</v>
      </c>
      <c r="B35" s="6" t="s">
        <v>19</v>
      </c>
      <c r="C35" s="6" t="s">
        <v>24</v>
      </c>
      <c r="D35" s="7" t="n">
        <v>8279.91</v>
      </c>
      <c r="E35" s="7" t="n">
        <v>8759.49</v>
      </c>
      <c r="F35" s="7" t="n">
        <v>12292.63</v>
      </c>
      <c r="G35" s="7" t="n">
        <v>11505.33</v>
      </c>
      <c r="H35" s="7" t="n">
        <v>14484.72</v>
      </c>
      <c r="I35" s="7" t="n">
        <v>8967.17</v>
      </c>
      <c r="J35" s="7" t="n">
        <v>2460.92</v>
      </c>
      <c r="K35" s="7" t="n">
        <v>11487.85</v>
      </c>
      <c r="L35" s="7" t="n">
        <v>11787.12</v>
      </c>
      <c r="M35" s="7" t="n">
        <v>2018.13</v>
      </c>
      <c r="N35" s="8" t="n">
        <f aca="false">SUM(D35:M35)</f>
        <v>92043.27</v>
      </c>
    </row>
    <row r="36" customFormat="false" ht="15" hidden="false" customHeight="false" outlineLevel="0" collapsed="false">
      <c r="A36" s="5" t="n">
        <v>46341</v>
      </c>
      <c r="B36" s="6" t="s">
        <v>20</v>
      </c>
      <c r="C36" s="6" t="s">
        <v>24</v>
      </c>
      <c r="D36" s="7" t="n">
        <v>8012.24</v>
      </c>
      <c r="E36" s="7" t="n">
        <v>8287.91</v>
      </c>
      <c r="F36" s="7" t="n">
        <v>11388.18</v>
      </c>
      <c r="G36" s="7" t="n">
        <v>11051.1</v>
      </c>
      <c r="H36" s="7" t="n">
        <v>13822.44</v>
      </c>
      <c r="I36" s="7" t="n">
        <v>8283.4</v>
      </c>
      <c r="J36" s="7" t="n">
        <v>2043.62</v>
      </c>
      <c r="K36" s="7" t="n">
        <v>11010.33</v>
      </c>
      <c r="L36" s="7" t="n">
        <v>11923.01</v>
      </c>
      <c r="M36" s="7" t="n">
        <v>1983.3</v>
      </c>
      <c r="N36" s="8" t="n">
        <f aca="false">SUM(D36:M36)</f>
        <v>87805.53</v>
      </c>
    </row>
    <row r="37" customFormat="false" ht="15" hidden="false" customHeight="false" outlineLevel="0" collapsed="false">
      <c r="A37" s="5" t="n">
        <v>46342</v>
      </c>
      <c r="B37" s="6" t="s">
        <v>21</v>
      </c>
      <c r="C37" s="6" t="s">
        <v>24</v>
      </c>
      <c r="D37" s="7" t="n">
        <v>7459.92</v>
      </c>
      <c r="E37" s="7" t="n">
        <v>6065.64</v>
      </c>
      <c r="F37" s="7" t="n">
        <v>8723.58</v>
      </c>
      <c r="G37" s="7" t="n">
        <v>7241.7</v>
      </c>
      <c r="H37" s="7" t="n">
        <v>10344.45</v>
      </c>
      <c r="I37" s="7" t="n">
        <v>7234.31</v>
      </c>
      <c r="J37" s="7" t="n">
        <v>1900.97</v>
      </c>
      <c r="K37" s="7" t="n">
        <v>7690.22</v>
      </c>
      <c r="L37" s="7" t="n">
        <v>6294.17</v>
      </c>
      <c r="M37" s="7" t="n">
        <v>1197.16</v>
      </c>
      <c r="N37" s="8" t="n">
        <f aca="false">SUM(D37:M37)</f>
        <v>64152.12</v>
      </c>
    </row>
    <row r="38" customFormat="false" ht="15" hidden="false" customHeight="false" outlineLevel="0" collapsed="false">
      <c r="A38" s="5" t="n">
        <v>46343</v>
      </c>
      <c r="B38" s="6" t="s">
        <v>22</v>
      </c>
      <c r="C38" s="6" t="s">
        <v>24</v>
      </c>
      <c r="D38" s="7" t="n">
        <v>7641.48</v>
      </c>
      <c r="E38" s="7" t="n">
        <v>6039.24</v>
      </c>
      <c r="F38" s="7" t="n">
        <v>8745.61</v>
      </c>
      <c r="G38" s="7" t="n">
        <v>6537.55</v>
      </c>
      <c r="H38" s="7" t="n">
        <v>10805.77</v>
      </c>
      <c r="I38" s="7" t="n">
        <v>7120.6</v>
      </c>
      <c r="J38" s="7" t="n">
        <v>1865.18</v>
      </c>
      <c r="K38" s="7" t="n">
        <v>6601.07</v>
      </c>
      <c r="L38" s="7" t="n">
        <v>5923.73</v>
      </c>
      <c r="M38" s="7" t="n">
        <v>1026.29</v>
      </c>
      <c r="N38" s="8" t="n">
        <f aca="false">SUM(D38:M38)</f>
        <v>62306.52</v>
      </c>
    </row>
    <row r="39" customFormat="false" ht="15" hidden="false" customHeight="false" outlineLevel="0" collapsed="false">
      <c r="A39" s="5" t="n">
        <v>46344</v>
      </c>
      <c r="B39" s="6" t="s">
        <v>23</v>
      </c>
      <c r="C39" s="6" t="s">
        <v>24</v>
      </c>
      <c r="D39" s="7" t="n">
        <v>7610.99</v>
      </c>
      <c r="E39" s="7" t="n">
        <v>6146.5</v>
      </c>
      <c r="F39" s="7" t="n">
        <v>9143.7</v>
      </c>
      <c r="G39" s="7" t="n">
        <v>6826.16</v>
      </c>
      <c r="H39" s="7" t="n">
        <v>11419.51</v>
      </c>
      <c r="I39" s="7" t="n">
        <v>6970.13</v>
      </c>
      <c r="J39" s="7" t="n">
        <v>1893.87</v>
      </c>
      <c r="K39" s="7" t="n">
        <v>6674.8</v>
      </c>
      <c r="L39" s="7" t="n">
        <v>6193.93</v>
      </c>
      <c r="M39" s="7" t="n">
        <v>1007.06</v>
      </c>
      <c r="N39" s="8" t="n">
        <f aca="false">SUM(D39:M39)</f>
        <v>63886.65</v>
      </c>
    </row>
    <row r="40" customFormat="false" ht="15" hidden="false" customHeight="false" outlineLevel="0" collapsed="false">
      <c r="A40" s="5" t="n">
        <v>46345</v>
      </c>
      <c r="B40" s="6" t="s">
        <v>16</v>
      </c>
      <c r="C40" s="6" t="s">
        <v>24</v>
      </c>
      <c r="D40" s="7" t="n">
        <v>7672.76</v>
      </c>
      <c r="E40" s="7" t="n">
        <v>6281.29</v>
      </c>
      <c r="F40" s="7" t="n">
        <v>9595.89</v>
      </c>
      <c r="G40" s="7" t="n">
        <v>7231.05</v>
      </c>
      <c r="H40" s="7" t="n">
        <v>11974.49</v>
      </c>
      <c r="I40" s="7" t="n">
        <v>7276.71</v>
      </c>
      <c r="J40" s="7" t="n">
        <v>1981.07</v>
      </c>
      <c r="K40" s="7" t="n">
        <v>6830.75</v>
      </c>
      <c r="L40" s="7" t="n">
        <v>6578.72</v>
      </c>
      <c r="M40" s="7" t="n">
        <v>1159.82</v>
      </c>
      <c r="N40" s="8" t="n">
        <f aca="false">SUM(D40:M40)</f>
        <v>66582.55</v>
      </c>
    </row>
    <row r="41" customFormat="false" ht="15" hidden="false" customHeight="false" outlineLevel="0" collapsed="false">
      <c r="A41" s="5" t="n">
        <v>46346</v>
      </c>
      <c r="B41" s="6" t="s">
        <v>18</v>
      </c>
      <c r="C41" s="6" t="s">
        <v>24</v>
      </c>
      <c r="D41" s="7" t="n">
        <v>7707.46</v>
      </c>
      <c r="E41" s="7" t="n">
        <v>6808.75</v>
      </c>
      <c r="F41" s="7" t="n">
        <v>10941.7</v>
      </c>
      <c r="G41" s="7" t="n">
        <v>8776.64</v>
      </c>
      <c r="H41" s="7" t="n">
        <v>12973.54</v>
      </c>
      <c r="I41" s="7" t="n">
        <v>7824.91</v>
      </c>
      <c r="J41" s="7" t="n">
        <v>2084.89</v>
      </c>
      <c r="K41" s="7" t="n">
        <v>8462.71</v>
      </c>
      <c r="L41" s="7" t="n">
        <v>7838.43</v>
      </c>
      <c r="M41" s="7" t="n">
        <v>1503.36</v>
      </c>
      <c r="N41" s="8" t="n">
        <f aca="false">SUM(D41:M41)</f>
        <v>74922.39</v>
      </c>
    </row>
    <row r="42" customFormat="false" ht="15" hidden="false" customHeight="false" outlineLevel="0" collapsed="false">
      <c r="A42" s="5" t="n">
        <v>46347</v>
      </c>
      <c r="B42" s="6" t="s">
        <v>19</v>
      </c>
      <c r="C42" s="6" t="s">
        <v>24</v>
      </c>
      <c r="D42" s="7" t="n">
        <v>8132.45</v>
      </c>
      <c r="E42" s="7" t="n">
        <v>8710.19</v>
      </c>
      <c r="F42" s="7" t="n">
        <v>12688.77</v>
      </c>
      <c r="G42" s="7" t="n">
        <v>11800</v>
      </c>
      <c r="H42" s="7" t="n">
        <v>15016.35</v>
      </c>
      <c r="I42" s="7" t="n">
        <v>8871.81</v>
      </c>
      <c r="J42" s="7" t="n">
        <v>2489.62</v>
      </c>
      <c r="K42" s="7" t="n">
        <v>10999.84</v>
      </c>
      <c r="L42" s="7" t="n">
        <v>12263</v>
      </c>
      <c r="M42" s="7" t="n">
        <v>2056.59</v>
      </c>
      <c r="N42" s="8" t="n">
        <f aca="false">SUM(D42:M42)</f>
        <v>93028.62</v>
      </c>
    </row>
    <row r="43" customFormat="false" ht="15" hidden="false" customHeight="false" outlineLevel="0" collapsed="false">
      <c r="A43" s="5" t="n">
        <v>46348</v>
      </c>
      <c r="B43" s="6" t="s">
        <v>20</v>
      </c>
      <c r="C43" s="6" t="s">
        <v>24</v>
      </c>
      <c r="D43" s="7" t="n">
        <v>7977.64</v>
      </c>
      <c r="E43" s="7" t="n">
        <v>8412.87</v>
      </c>
      <c r="F43" s="7" t="n">
        <v>12506.43</v>
      </c>
      <c r="G43" s="7" t="n">
        <v>12289.02</v>
      </c>
      <c r="H43" s="7" t="n">
        <v>15013.6</v>
      </c>
      <c r="I43" s="7" t="n">
        <v>8542.22</v>
      </c>
      <c r="J43" s="7" t="n">
        <v>2204.51</v>
      </c>
      <c r="K43" s="7" t="n">
        <v>10884.62</v>
      </c>
      <c r="L43" s="7" t="n">
        <v>13192.09</v>
      </c>
      <c r="M43" s="7" t="n">
        <v>2138.9</v>
      </c>
      <c r="N43" s="8" t="n">
        <f aca="false">SUM(D43:M43)</f>
        <v>93161.9</v>
      </c>
    </row>
    <row r="44" customFormat="false" ht="15" hidden="false" customHeight="false" outlineLevel="0" collapsed="false">
      <c r="A44" s="5" t="n">
        <v>46349</v>
      </c>
      <c r="B44" s="6" t="s">
        <v>21</v>
      </c>
      <c r="C44" s="6" t="s">
        <v>24</v>
      </c>
      <c r="D44" s="7" t="n">
        <v>7433</v>
      </c>
      <c r="E44" s="7" t="n">
        <v>5898.27</v>
      </c>
      <c r="F44" s="7" t="n">
        <v>9558.59</v>
      </c>
      <c r="G44" s="7" t="n">
        <v>8130.91</v>
      </c>
      <c r="H44" s="7" t="n">
        <v>11071.94</v>
      </c>
      <c r="I44" s="7" t="n">
        <v>7381.02</v>
      </c>
      <c r="J44" s="7" t="n">
        <v>1955.52</v>
      </c>
      <c r="K44" s="7" t="n">
        <v>7289.42</v>
      </c>
      <c r="L44" s="7" t="n">
        <v>6905.07</v>
      </c>
      <c r="M44" s="7" t="n">
        <v>1267.13</v>
      </c>
      <c r="N44" s="8" t="n">
        <f aca="false">SUM(D44:M44)</f>
        <v>66890.87</v>
      </c>
    </row>
    <row r="45" customFormat="false" ht="15" hidden="false" customHeight="false" outlineLevel="0" collapsed="false">
      <c r="A45" s="5" t="n">
        <v>46350</v>
      </c>
      <c r="B45" s="6" t="s">
        <v>22</v>
      </c>
      <c r="C45" s="6" t="s">
        <v>24</v>
      </c>
      <c r="D45" s="7" t="n">
        <v>7711.05</v>
      </c>
      <c r="E45" s="7" t="n">
        <v>5948.4</v>
      </c>
      <c r="F45" s="7" t="n">
        <v>9891.37</v>
      </c>
      <c r="G45" s="7" t="n">
        <v>7927.31</v>
      </c>
      <c r="H45" s="7" t="n">
        <v>11690.72</v>
      </c>
      <c r="I45" s="7" t="n">
        <v>7458.31</v>
      </c>
      <c r="J45" s="7" t="n">
        <v>2008.95</v>
      </c>
      <c r="K45" s="7" t="n">
        <v>6424.1</v>
      </c>
      <c r="L45" s="7" t="n">
        <v>6855.3</v>
      </c>
      <c r="M45" s="7" t="n">
        <v>1155.33</v>
      </c>
      <c r="N45" s="8" t="n">
        <f aca="false">SUM(D45:M45)</f>
        <v>67070.84</v>
      </c>
    </row>
    <row r="46" customFormat="false" ht="15" hidden="false" customHeight="false" outlineLevel="0" collapsed="false">
      <c r="A46" s="5" t="n">
        <v>46351</v>
      </c>
      <c r="B46" s="6" t="s">
        <v>23</v>
      </c>
      <c r="C46" s="6" t="s">
        <v>24</v>
      </c>
      <c r="D46" s="7" t="n">
        <v>7679.2</v>
      </c>
      <c r="E46" s="7" t="n">
        <v>6029.68</v>
      </c>
      <c r="F46" s="7" t="n">
        <v>10415.21</v>
      </c>
      <c r="G46" s="7" t="n">
        <v>8448.13</v>
      </c>
      <c r="H46" s="7" t="n">
        <v>12278.57</v>
      </c>
      <c r="I46" s="7" t="n">
        <v>7344.45</v>
      </c>
      <c r="J46" s="7" t="n">
        <v>2137.13</v>
      </c>
      <c r="K46" s="7" t="n">
        <v>6736.85</v>
      </c>
      <c r="L46" s="7" t="n">
        <v>7374.8</v>
      </c>
      <c r="M46" s="7" t="n">
        <v>1157.38</v>
      </c>
      <c r="N46" s="8" t="n">
        <f aca="false">SUM(D46:M46)</f>
        <v>69601.4</v>
      </c>
    </row>
    <row r="47" customFormat="false" ht="15" hidden="false" customHeight="false" outlineLevel="0" collapsed="false">
      <c r="A47" s="5" t="n">
        <v>46352</v>
      </c>
      <c r="B47" s="6" t="s">
        <v>16</v>
      </c>
      <c r="C47" s="6" t="s">
        <v>24</v>
      </c>
      <c r="D47" s="7" t="n">
        <v>7832.92</v>
      </c>
      <c r="E47" s="7" t="n">
        <v>6553.03</v>
      </c>
      <c r="F47" s="7" t="n">
        <v>9164.8</v>
      </c>
      <c r="G47" s="7" t="n">
        <v>12092.68</v>
      </c>
      <c r="H47" s="7" t="n">
        <v>13232.03</v>
      </c>
      <c r="I47" s="7" t="n">
        <v>9071.74</v>
      </c>
      <c r="J47" s="7" t="n">
        <v>2250.85</v>
      </c>
      <c r="K47" s="7" t="n">
        <v>10587.9</v>
      </c>
      <c r="L47" s="7" t="n">
        <v>11342.48</v>
      </c>
      <c r="M47" s="7" t="n">
        <v>1882.29</v>
      </c>
      <c r="N47" s="8" t="n">
        <f aca="false">SUM(D47:M47)</f>
        <v>84010.72</v>
      </c>
    </row>
    <row r="48" customFormat="false" ht="15" hidden="false" customHeight="false" outlineLevel="0" collapsed="false">
      <c r="A48" s="5" t="n">
        <v>46353</v>
      </c>
      <c r="B48" s="6" t="s">
        <v>18</v>
      </c>
      <c r="C48" s="6" t="s">
        <v>24</v>
      </c>
      <c r="D48" s="7" t="n">
        <v>7363.8</v>
      </c>
      <c r="E48" s="7" t="n">
        <v>6275.65</v>
      </c>
      <c r="F48" s="7" t="n">
        <v>13418.07</v>
      </c>
      <c r="G48" s="7" t="n">
        <v>12371.18</v>
      </c>
      <c r="H48" s="7" t="n">
        <v>13855.58</v>
      </c>
      <c r="I48" s="7" t="n">
        <v>8571.94</v>
      </c>
      <c r="J48" s="7" t="n">
        <v>2401.14</v>
      </c>
      <c r="K48" s="7" t="n">
        <v>8869.14</v>
      </c>
      <c r="L48" s="7" t="n">
        <v>11651.08</v>
      </c>
      <c r="M48" s="7" t="n">
        <v>2287.37</v>
      </c>
      <c r="N48" s="8" t="n">
        <f aca="false">SUM(D48:M48)</f>
        <v>87064.95</v>
      </c>
    </row>
    <row r="49" customFormat="false" ht="15" hidden="false" customHeight="false" outlineLevel="0" collapsed="false">
      <c r="A49" s="5" t="n">
        <v>46354</v>
      </c>
      <c r="B49" s="6" t="s">
        <v>19</v>
      </c>
      <c r="C49" s="6" t="s">
        <v>24</v>
      </c>
      <c r="D49" s="7" t="n">
        <v>7647.67</v>
      </c>
      <c r="E49" s="7" t="n">
        <v>7718.36</v>
      </c>
      <c r="F49" s="7" t="n">
        <v>12322.47</v>
      </c>
      <c r="G49" s="7" t="n">
        <v>12290.93</v>
      </c>
      <c r="H49" s="7" t="n">
        <v>15071.84</v>
      </c>
      <c r="I49" s="7" t="n">
        <v>8221.66</v>
      </c>
      <c r="J49" s="7" t="n">
        <v>2530.54</v>
      </c>
      <c r="K49" s="7" t="n">
        <v>9925.93</v>
      </c>
      <c r="L49" s="7" t="n">
        <v>13082.23</v>
      </c>
      <c r="M49" s="7" t="n">
        <v>2025.05</v>
      </c>
      <c r="N49" s="8" t="n">
        <f aca="false">SUM(D49:M49)</f>
        <v>90836.68</v>
      </c>
    </row>
    <row r="50" customFormat="false" ht="15" hidden="false" customHeight="false" outlineLevel="0" collapsed="false">
      <c r="A50" s="5" t="n">
        <v>46355</v>
      </c>
      <c r="B50" s="6" t="s">
        <v>20</v>
      </c>
      <c r="C50" s="6" t="s">
        <v>24</v>
      </c>
      <c r="D50" s="7" t="n">
        <v>7543.21</v>
      </c>
      <c r="E50" s="7" t="n">
        <v>7383.35</v>
      </c>
      <c r="F50" s="7" t="n">
        <v>11714.89</v>
      </c>
      <c r="G50" s="7" t="n">
        <v>11850.76</v>
      </c>
      <c r="H50" s="7" t="n">
        <v>14676.62</v>
      </c>
      <c r="I50" s="7" t="n">
        <v>7736.55</v>
      </c>
      <c r="J50" s="7" t="n">
        <v>2141.95</v>
      </c>
      <c r="K50" s="7" t="n">
        <v>9599.64</v>
      </c>
      <c r="L50" s="7" t="n">
        <v>13213.96</v>
      </c>
      <c r="M50" s="7" t="n">
        <v>1962.58</v>
      </c>
      <c r="N50" s="8" t="n">
        <f aca="false">SUM(D50:M50)</f>
        <v>87823.51</v>
      </c>
    </row>
    <row r="51" customFormat="false" ht="15" hidden="false" customHeight="false" outlineLevel="0" collapsed="false">
      <c r="A51" s="5" t="n">
        <v>46356</v>
      </c>
      <c r="B51" s="6" t="s">
        <v>21</v>
      </c>
      <c r="C51" s="6" t="s">
        <v>24</v>
      </c>
      <c r="D51" s="7" t="n">
        <v>7228.01</v>
      </c>
      <c r="E51" s="7" t="n">
        <v>5382.11</v>
      </c>
      <c r="F51" s="7" t="n">
        <v>9399.39</v>
      </c>
      <c r="G51" s="7" t="n">
        <v>7562.51</v>
      </c>
      <c r="H51" s="7" t="n">
        <v>10582.31</v>
      </c>
      <c r="I51" s="7" t="n">
        <v>6766.97</v>
      </c>
      <c r="J51" s="7" t="n">
        <v>1889.36</v>
      </c>
      <c r="K51" s="7" t="n">
        <v>6656.86</v>
      </c>
      <c r="L51" s="7" t="n">
        <v>6720.07</v>
      </c>
      <c r="M51" s="7" t="n">
        <v>1165.08</v>
      </c>
      <c r="N51" s="8" t="n">
        <f aca="false">SUM(D51:M51)</f>
        <v>63352.67</v>
      </c>
    </row>
    <row r="52" customFormat="false" ht="15" hidden="false" customHeight="false" outlineLevel="0" collapsed="false">
      <c r="A52" s="5" t="n">
        <v>46357</v>
      </c>
      <c r="B52" s="6" t="s">
        <v>22</v>
      </c>
      <c r="C52" s="6" t="s">
        <v>25</v>
      </c>
      <c r="D52" s="7" t="n">
        <v>7213.09</v>
      </c>
      <c r="E52" s="7" t="n">
        <v>5232.75</v>
      </c>
      <c r="F52" s="7" t="n">
        <v>9234.23</v>
      </c>
      <c r="G52" s="7" t="n">
        <v>6363.86</v>
      </c>
      <c r="H52" s="7" t="n">
        <v>10716.75</v>
      </c>
      <c r="I52" s="7" t="n">
        <v>6495</v>
      </c>
      <c r="J52" s="7" t="n">
        <v>1833.14</v>
      </c>
      <c r="K52" s="7" t="n">
        <v>5550.05</v>
      </c>
      <c r="L52" s="7" t="n">
        <v>6128.78</v>
      </c>
      <c r="M52" s="7" t="n">
        <v>836.87</v>
      </c>
      <c r="N52" s="8" t="n">
        <f aca="false">SUM(D52:M52)</f>
        <v>59604.52</v>
      </c>
    </row>
    <row r="53" customFormat="false" ht="15" hidden="false" customHeight="false" outlineLevel="0" collapsed="false">
      <c r="A53" s="5" t="n">
        <v>46358</v>
      </c>
      <c r="B53" s="6" t="s">
        <v>23</v>
      </c>
      <c r="C53" s="6" t="s">
        <v>25</v>
      </c>
      <c r="D53" s="7" t="n">
        <v>7365.9</v>
      </c>
      <c r="E53" s="7" t="n">
        <v>5410.03</v>
      </c>
      <c r="F53" s="7" t="n">
        <v>9358.91</v>
      </c>
      <c r="G53" s="7" t="n">
        <v>6515.98</v>
      </c>
      <c r="H53" s="7" t="n">
        <v>11181.52</v>
      </c>
      <c r="I53" s="7" t="n">
        <v>6522.07</v>
      </c>
      <c r="J53" s="7" t="n">
        <v>1805.12</v>
      </c>
      <c r="K53" s="7" t="n">
        <v>5694.33</v>
      </c>
      <c r="L53" s="7" t="n">
        <v>6338.69</v>
      </c>
      <c r="M53" s="7" t="n">
        <v>911.82</v>
      </c>
      <c r="N53" s="8" t="n">
        <f aca="false">SUM(D53:M53)</f>
        <v>61104.37</v>
      </c>
    </row>
    <row r="54" customFormat="false" ht="15" hidden="false" customHeight="false" outlineLevel="0" collapsed="false">
      <c r="A54" s="5" t="n">
        <v>46359</v>
      </c>
      <c r="B54" s="6" t="s">
        <v>16</v>
      </c>
      <c r="C54" s="6" t="s">
        <v>25</v>
      </c>
      <c r="D54" s="7" t="n">
        <v>7254.24</v>
      </c>
      <c r="E54" s="7" t="n">
        <v>5379.32</v>
      </c>
      <c r="F54" s="7" t="n">
        <v>9703.83</v>
      </c>
      <c r="G54" s="7" t="n">
        <v>6951.77</v>
      </c>
      <c r="H54" s="7" t="n">
        <v>11688.6</v>
      </c>
      <c r="I54" s="7" t="n">
        <v>6927.45</v>
      </c>
      <c r="J54" s="7" t="n">
        <v>1885.08</v>
      </c>
      <c r="K54" s="7" t="n">
        <v>6043.03</v>
      </c>
      <c r="L54" s="7" t="n">
        <v>6549.45</v>
      </c>
      <c r="M54" s="7" t="n">
        <v>1017.39</v>
      </c>
      <c r="N54" s="8" t="n">
        <f aca="false">SUM(D54:M54)</f>
        <v>63400.16</v>
      </c>
    </row>
    <row r="55" customFormat="false" ht="15" hidden="false" customHeight="false" outlineLevel="0" collapsed="false">
      <c r="A55" s="5" t="n">
        <v>46360</v>
      </c>
      <c r="B55" s="6" t="s">
        <v>18</v>
      </c>
      <c r="C55" s="6" t="s">
        <v>25</v>
      </c>
      <c r="D55" s="7" t="n">
        <v>7391.91</v>
      </c>
      <c r="E55" s="7" t="n">
        <v>6029.36</v>
      </c>
      <c r="F55" s="7" t="n">
        <v>10985.8</v>
      </c>
      <c r="G55" s="7" t="n">
        <v>8926.51</v>
      </c>
      <c r="H55" s="7" t="n">
        <v>12877.13</v>
      </c>
      <c r="I55" s="7" t="n">
        <v>7511.57</v>
      </c>
      <c r="J55" s="7" t="n">
        <v>2029.89</v>
      </c>
      <c r="K55" s="7" t="n">
        <v>8206.03</v>
      </c>
      <c r="L55" s="7" t="n">
        <v>8024.94</v>
      </c>
      <c r="M55" s="7" t="n">
        <v>1440.44</v>
      </c>
      <c r="N55" s="8" t="n">
        <f aca="false">SUM(D55:M55)</f>
        <v>73423.58</v>
      </c>
    </row>
    <row r="56" customFormat="false" ht="15" hidden="false" customHeight="false" outlineLevel="0" collapsed="false">
      <c r="A56" s="5" t="n">
        <v>46361</v>
      </c>
      <c r="B56" s="6" t="s">
        <v>19</v>
      </c>
      <c r="C56" s="6" t="s">
        <v>25</v>
      </c>
      <c r="D56" s="7" t="n">
        <v>7788.08</v>
      </c>
      <c r="E56" s="7" t="n">
        <v>7959.25</v>
      </c>
      <c r="F56" s="7" t="n">
        <v>12457.19</v>
      </c>
      <c r="G56" s="7" t="n">
        <v>12292.82</v>
      </c>
      <c r="H56" s="7" t="n">
        <v>14868.22</v>
      </c>
      <c r="I56" s="7" t="n">
        <v>8631.96</v>
      </c>
      <c r="J56" s="7" t="n">
        <v>2486.2</v>
      </c>
      <c r="K56" s="7" t="n">
        <v>10768.44</v>
      </c>
      <c r="L56" s="7" t="n">
        <v>12468.03</v>
      </c>
      <c r="M56" s="7" t="n">
        <v>2044.62</v>
      </c>
      <c r="N56" s="8" t="n">
        <f aca="false">SUM(D56:M56)</f>
        <v>91764.81</v>
      </c>
    </row>
    <row r="57" customFormat="false" ht="15" hidden="false" customHeight="false" outlineLevel="0" collapsed="false">
      <c r="A57" s="5" t="n">
        <v>46362</v>
      </c>
      <c r="B57" s="6" t="s">
        <v>20</v>
      </c>
      <c r="C57" s="6" t="s">
        <v>25</v>
      </c>
      <c r="D57" s="7" t="n">
        <v>7681.16</v>
      </c>
      <c r="E57" s="7" t="n">
        <v>7818.15</v>
      </c>
      <c r="F57" s="7" t="n">
        <v>12034.58</v>
      </c>
      <c r="G57" s="7" t="n">
        <v>12373.06</v>
      </c>
      <c r="H57" s="7" t="n">
        <v>14753.5</v>
      </c>
      <c r="I57" s="7" t="n">
        <v>8310.22</v>
      </c>
      <c r="J57" s="7" t="n">
        <v>2109.82</v>
      </c>
      <c r="K57" s="7" t="n">
        <v>10482.79</v>
      </c>
      <c r="L57" s="7" t="n">
        <v>12834.43</v>
      </c>
      <c r="M57" s="7" t="n">
        <v>2006.2</v>
      </c>
      <c r="N57" s="8" t="n">
        <f aca="false">SUM(D57:M57)</f>
        <v>90403.91</v>
      </c>
    </row>
    <row r="58" customFormat="false" ht="15" hidden="false" customHeight="false" outlineLevel="0" collapsed="false">
      <c r="A58" s="5" t="n">
        <v>46363</v>
      </c>
      <c r="B58" s="6" t="s">
        <v>21</v>
      </c>
      <c r="C58" s="6" t="s">
        <v>25</v>
      </c>
      <c r="D58" s="7" t="n">
        <v>7152.09</v>
      </c>
      <c r="E58" s="7" t="n">
        <v>5479.81</v>
      </c>
      <c r="F58" s="7" t="n">
        <v>8733.96</v>
      </c>
      <c r="G58" s="7" t="n">
        <v>7025.68</v>
      </c>
      <c r="H58" s="7" t="n">
        <v>10467.56</v>
      </c>
      <c r="I58" s="7" t="n">
        <v>6784.16</v>
      </c>
      <c r="J58" s="7" t="n">
        <v>1801.59</v>
      </c>
      <c r="K58" s="7" t="n">
        <v>6564.46</v>
      </c>
      <c r="L58" s="7" t="n">
        <v>6274.87</v>
      </c>
      <c r="M58" s="7" t="n">
        <v>1062.35</v>
      </c>
      <c r="N58" s="8" t="n">
        <f aca="false">SUM(D58:M58)</f>
        <v>61346.53</v>
      </c>
    </row>
    <row r="59" customFormat="false" ht="15" hidden="false" customHeight="false" outlineLevel="0" collapsed="false">
      <c r="A59" s="5" t="n">
        <v>46364</v>
      </c>
      <c r="B59" s="6" t="s">
        <v>22</v>
      </c>
      <c r="C59" s="6" t="s">
        <v>25</v>
      </c>
      <c r="D59" s="7" t="n">
        <v>7430.11</v>
      </c>
      <c r="E59" s="7" t="n">
        <v>5656.01</v>
      </c>
      <c r="F59" s="7" t="n">
        <v>8863.73</v>
      </c>
      <c r="G59" s="7" t="n">
        <v>6457.15</v>
      </c>
      <c r="H59" s="7" t="n">
        <v>10991.32</v>
      </c>
      <c r="I59" s="7" t="n">
        <v>6811.86</v>
      </c>
      <c r="J59" s="7" t="n">
        <v>1813.17</v>
      </c>
      <c r="K59" s="7" t="n">
        <v>5713.97</v>
      </c>
      <c r="L59" s="7" t="n">
        <v>5902.59</v>
      </c>
      <c r="M59" s="7" t="n">
        <v>916.96</v>
      </c>
      <c r="N59" s="8" t="n">
        <f aca="false">SUM(D59:M59)</f>
        <v>60556.87</v>
      </c>
    </row>
    <row r="60" customFormat="false" ht="15" hidden="false" customHeight="false" outlineLevel="0" collapsed="false">
      <c r="A60" s="5" t="n">
        <v>46365</v>
      </c>
      <c r="B60" s="6" t="s">
        <v>23</v>
      </c>
      <c r="C60" s="6" t="s">
        <v>25</v>
      </c>
      <c r="D60" s="7" t="n">
        <v>7442.26</v>
      </c>
      <c r="E60" s="7" t="n">
        <v>5843.69</v>
      </c>
      <c r="F60" s="7" t="n">
        <v>9367.79</v>
      </c>
      <c r="G60" s="7" t="n">
        <v>6744.82</v>
      </c>
      <c r="H60" s="7" t="n">
        <v>11647.95</v>
      </c>
      <c r="I60" s="7" t="n">
        <v>6857.76</v>
      </c>
      <c r="J60" s="7" t="n">
        <v>1850.06</v>
      </c>
      <c r="K60" s="7" t="n">
        <v>5949.81</v>
      </c>
      <c r="L60" s="7" t="n">
        <v>6139.66</v>
      </c>
      <c r="M60" s="7" t="n">
        <v>916.64</v>
      </c>
      <c r="N60" s="8" t="n">
        <f aca="false">SUM(D60:M60)</f>
        <v>62760.44</v>
      </c>
    </row>
    <row r="61" customFormat="false" ht="15" hidden="false" customHeight="false" outlineLevel="0" collapsed="false">
      <c r="A61" s="5" t="n">
        <v>46366</v>
      </c>
      <c r="B61" s="6" t="s">
        <v>16</v>
      </c>
      <c r="C61" s="6" t="s">
        <v>25</v>
      </c>
      <c r="D61" s="7" t="n">
        <v>7458.12</v>
      </c>
      <c r="E61" s="7" t="n">
        <v>5871.09</v>
      </c>
      <c r="F61" s="7" t="n">
        <v>9796.15</v>
      </c>
      <c r="G61" s="7" t="n">
        <v>7073.36</v>
      </c>
      <c r="H61" s="7" t="n">
        <v>12218.84</v>
      </c>
      <c r="I61" s="7" t="n">
        <v>7227.24</v>
      </c>
      <c r="J61" s="7" t="n">
        <v>1907.22</v>
      </c>
      <c r="K61" s="7" t="n">
        <v>6259.64</v>
      </c>
      <c r="L61" s="7" t="n">
        <v>6330.12</v>
      </c>
      <c r="M61" s="7" t="n">
        <v>1012.62</v>
      </c>
      <c r="N61" s="8" t="n">
        <f aca="false">SUM(D61:M61)</f>
        <v>65154.4</v>
      </c>
    </row>
    <row r="62" customFormat="false" ht="15" hidden="false" customHeight="false" outlineLevel="0" collapsed="false">
      <c r="A62" s="5" t="n">
        <v>46367</v>
      </c>
      <c r="B62" s="6" t="s">
        <v>18</v>
      </c>
      <c r="C62" s="6" t="s">
        <v>25</v>
      </c>
      <c r="D62" s="7" t="n">
        <v>7406.49</v>
      </c>
      <c r="E62" s="7" t="n">
        <v>6431.74</v>
      </c>
      <c r="F62" s="7" t="n">
        <v>11137.62</v>
      </c>
      <c r="G62" s="7" t="n">
        <v>8531.88</v>
      </c>
      <c r="H62" s="7" t="n">
        <v>13166.03</v>
      </c>
      <c r="I62" s="7" t="n">
        <v>7726.13</v>
      </c>
      <c r="J62" s="7" t="n">
        <v>1956.25</v>
      </c>
      <c r="K62" s="7" t="n">
        <v>7843.42</v>
      </c>
      <c r="L62" s="7" t="n">
        <v>7500.69</v>
      </c>
      <c r="M62" s="7" t="n">
        <v>1275.45</v>
      </c>
      <c r="N62" s="8" t="n">
        <f aca="false">SUM(D62:M62)</f>
        <v>72975.7</v>
      </c>
    </row>
    <row r="63" customFormat="false" ht="15" hidden="false" customHeight="false" outlineLevel="0" collapsed="false">
      <c r="A63" s="5" t="n">
        <v>46368</v>
      </c>
      <c r="B63" s="6" t="s">
        <v>19</v>
      </c>
      <c r="C63" s="6" t="s">
        <v>25</v>
      </c>
      <c r="D63" s="7" t="n">
        <v>7807.29</v>
      </c>
      <c r="E63" s="7" t="n">
        <v>8408.39</v>
      </c>
      <c r="F63" s="7" t="n">
        <v>12889.32</v>
      </c>
      <c r="G63" s="7" t="n">
        <v>11813.85</v>
      </c>
      <c r="H63" s="7" t="n">
        <v>15303.7</v>
      </c>
      <c r="I63" s="7" t="n">
        <v>8798.05</v>
      </c>
      <c r="J63" s="7" t="n">
        <v>2352.93</v>
      </c>
      <c r="K63" s="7" t="n">
        <v>10298.13</v>
      </c>
      <c r="L63" s="7" t="n">
        <v>11910.59</v>
      </c>
      <c r="M63" s="7" t="n">
        <v>1813.5</v>
      </c>
      <c r="N63" s="8" t="n">
        <f aca="false">SUM(D63:M63)</f>
        <v>91395.75</v>
      </c>
    </row>
    <row r="64" customFormat="false" ht="15" hidden="false" customHeight="false" outlineLevel="0" collapsed="false">
      <c r="A64" s="5" t="n">
        <v>46369</v>
      </c>
      <c r="B64" s="6" t="s">
        <v>20</v>
      </c>
      <c r="C64" s="6" t="s">
        <v>25</v>
      </c>
      <c r="D64" s="7" t="n">
        <v>7699.64</v>
      </c>
      <c r="E64" s="7" t="n">
        <v>8087.16</v>
      </c>
      <c r="F64" s="7" t="n">
        <v>12648.52</v>
      </c>
      <c r="G64" s="7" t="n">
        <v>11911.43</v>
      </c>
      <c r="H64" s="7" t="n">
        <v>15083.61</v>
      </c>
      <c r="I64" s="7" t="n">
        <v>8417.29</v>
      </c>
      <c r="J64" s="7" t="n">
        <v>2052.41</v>
      </c>
      <c r="K64" s="7" t="n">
        <v>10153.84</v>
      </c>
      <c r="L64" s="7" t="n">
        <v>12540.11</v>
      </c>
      <c r="M64" s="7" t="n">
        <v>1802.18</v>
      </c>
      <c r="N64" s="8" t="n">
        <f aca="false">SUM(D64:M64)</f>
        <v>90396.19</v>
      </c>
    </row>
    <row r="65" customFormat="false" ht="15" hidden="false" customHeight="false" outlineLevel="0" collapsed="false">
      <c r="A65" s="5" t="n">
        <v>46370</v>
      </c>
      <c r="B65" s="6" t="s">
        <v>21</v>
      </c>
      <c r="C65" s="6" t="s">
        <v>25</v>
      </c>
      <c r="D65" s="7" t="n">
        <v>7163.64</v>
      </c>
      <c r="E65" s="7" t="n">
        <v>5683.45</v>
      </c>
      <c r="F65" s="7" t="n">
        <v>9485</v>
      </c>
      <c r="G65" s="7" t="n">
        <v>6959.85</v>
      </c>
      <c r="H65" s="7" t="n">
        <v>10957.48</v>
      </c>
      <c r="I65" s="7" t="n">
        <v>6956.08</v>
      </c>
      <c r="J65" s="7" t="n">
        <v>1777.25</v>
      </c>
      <c r="K65" s="7" t="n">
        <v>6325.43</v>
      </c>
      <c r="L65" s="7" t="n">
        <v>6243.19</v>
      </c>
      <c r="M65" s="7" t="n">
        <v>928.87</v>
      </c>
      <c r="N65" s="8" t="n">
        <f aca="false">SUM(D65:M65)</f>
        <v>62480.24</v>
      </c>
    </row>
    <row r="66" customFormat="false" ht="15" hidden="false" customHeight="false" outlineLevel="0" collapsed="false">
      <c r="A66" s="5" t="n">
        <v>46371</v>
      </c>
      <c r="B66" s="6" t="s">
        <v>22</v>
      </c>
      <c r="C66" s="6" t="s">
        <v>25</v>
      </c>
      <c r="D66" s="7" t="n">
        <v>7379.34</v>
      </c>
      <c r="E66" s="7" t="n">
        <v>5752.97</v>
      </c>
      <c r="F66" s="7" t="n">
        <v>9783.07</v>
      </c>
      <c r="G66" s="7" t="n">
        <v>6456.59</v>
      </c>
      <c r="H66" s="7" t="n">
        <v>11531.63</v>
      </c>
      <c r="I66" s="7" t="n">
        <v>7000.9</v>
      </c>
      <c r="J66" s="7" t="n">
        <v>1806.64</v>
      </c>
      <c r="K66" s="7" t="n">
        <v>5432.84</v>
      </c>
      <c r="L66" s="7" t="n">
        <v>5972.68</v>
      </c>
      <c r="M66" s="7" t="n">
        <v>771</v>
      </c>
      <c r="N66" s="8" t="n">
        <f aca="false">SUM(D66:M66)</f>
        <v>61887.66</v>
      </c>
    </row>
    <row r="67" customFormat="false" ht="15" hidden="false" customHeight="false" outlineLevel="0" collapsed="false">
      <c r="A67" s="5" t="n">
        <v>46372</v>
      </c>
      <c r="B67" s="6" t="s">
        <v>23</v>
      </c>
      <c r="C67" s="6" t="s">
        <v>25</v>
      </c>
      <c r="D67" s="7" t="n">
        <v>7344</v>
      </c>
      <c r="E67" s="7" t="n">
        <v>5973.4</v>
      </c>
      <c r="F67" s="7" t="n">
        <v>10384.8</v>
      </c>
      <c r="G67" s="7" t="n">
        <v>6891.22</v>
      </c>
      <c r="H67" s="7" t="n">
        <v>12348.19</v>
      </c>
      <c r="I67" s="7" t="n">
        <v>6953.19</v>
      </c>
      <c r="J67" s="7" t="n">
        <v>1915.08</v>
      </c>
      <c r="K67" s="7" t="n">
        <v>5707.09</v>
      </c>
      <c r="L67" s="7" t="n">
        <v>6460.59</v>
      </c>
      <c r="M67" s="7" t="n">
        <v>765.34</v>
      </c>
      <c r="N67" s="8" t="n">
        <f aca="false">SUM(D67:M67)</f>
        <v>64742.9</v>
      </c>
    </row>
    <row r="68" customFormat="false" ht="15" hidden="false" customHeight="false" outlineLevel="0" collapsed="false">
      <c r="A68" s="5" t="n">
        <v>46373</v>
      </c>
      <c r="B68" s="6" t="s">
        <v>16</v>
      </c>
      <c r="C68" s="6" t="s">
        <v>25</v>
      </c>
      <c r="D68" s="7" t="n">
        <v>7208.54</v>
      </c>
      <c r="E68" s="7" t="n">
        <v>5936.15</v>
      </c>
      <c r="F68" s="7" t="n">
        <v>10795.29</v>
      </c>
      <c r="G68" s="7" t="n">
        <v>7232.74</v>
      </c>
      <c r="H68" s="7" t="n">
        <v>12807.98</v>
      </c>
      <c r="I68" s="7" t="n">
        <v>7229.68</v>
      </c>
      <c r="J68" s="7" t="n">
        <v>2004.54</v>
      </c>
      <c r="K68" s="7" t="n">
        <v>5990.4</v>
      </c>
      <c r="L68" s="7" t="n">
        <v>6808.62</v>
      </c>
      <c r="M68" s="7" t="n">
        <v>890.78</v>
      </c>
      <c r="N68" s="8" t="n">
        <f aca="false">SUM(D68:M68)</f>
        <v>66904.72</v>
      </c>
    </row>
    <row r="69" customFormat="false" ht="15" hidden="false" customHeight="false" outlineLevel="0" collapsed="false">
      <c r="A69" s="5" t="n">
        <v>46374</v>
      </c>
      <c r="B69" s="6" t="s">
        <v>18</v>
      </c>
      <c r="C69" s="6" t="s">
        <v>25</v>
      </c>
      <c r="D69" s="7" t="n">
        <v>7166.12</v>
      </c>
      <c r="E69" s="7" t="n">
        <v>6368.08</v>
      </c>
      <c r="F69" s="7" t="n">
        <v>12251.23</v>
      </c>
      <c r="G69" s="7" t="n">
        <v>8978.36</v>
      </c>
      <c r="H69" s="7" t="n">
        <v>13971.88</v>
      </c>
      <c r="I69" s="7" t="n">
        <v>7782.6</v>
      </c>
      <c r="J69" s="7" t="n">
        <v>2122.44</v>
      </c>
      <c r="K69" s="7" t="n">
        <v>7782.78</v>
      </c>
      <c r="L69" s="7" t="n">
        <v>8187.3</v>
      </c>
      <c r="M69" s="7" t="n">
        <v>1217.04</v>
      </c>
      <c r="N69" s="8" t="n">
        <f aca="false">SUM(D69:M69)</f>
        <v>75827.83</v>
      </c>
    </row>
    <row r="70" customFormat="false" ht="15" hidden="false" customHeight="false" outlineLevel="0" collapsed="false">
      <c r="A70" s="5" t="n">
        <v>46375</v>
      </c>
      <c r="B70" s="6" t="s">
        <v>19</v>
      </c>
      <c r="C70" s="6" t="s">
        <v>25</v>
      </c>
      <c r="D70" s="7" t="n">
        <v>7430.86</v>
      </c>
      <c r="E70" s="7" t="n">
        <v>8090.34</v>
      </c>
      <c r="F70" s="7" t="n">
        <v>13865.82</v>
      </c>
      <c r="G70" s="7" t="n">
        <v>12340.8</v>
      </c>
      <c r="H70" s="7" t="n">
        <v>15896.81</v>
      </c>
      <c r="I70" s="7" t="n">
        <v>8756.16</v>
      </c>
      <c r="J70" s="7" t="n">
        <v>2459.65</v>
      </c>
      <c r="K70" s="7" t="n">
        <v>10186.51</v>
      </c>
      <c r="L70" s="7" t="n">
        <v>12680.05</v>
      </c>
      <c r="M70" s="7" t="n">
        <v>1728.76</v>
      </c>
      <c r="N70" s="8" t="n">
        <f aca="false">SUM(D70:M70)</f>
        <v>93435.76</v>
      </c>
    </row>
    <row r="71" customFormat="false" ht="15" hidden="false" customHeight="false" outlineLevel="0" collapsed="false">
      <c r="A71" s="5" t="n">
        <v>46376</v>
      </c>
      <c r="B71" s="6" t="s">
        <v>20</v>
      </c>
      <c r="C71" s="6" t="s">
        <v>25</v>
      </c>
      <c r="D71" s="7" t="n">
        <v>7270.04</v>
      </c>
      <c r="E71" s="7" t="n">
        <v>7726.64</v>
      </c>
      <c r="F71" s="7" t="n">
        <v>13327.96</v>
      </c>
      <c r="G71" s="7" t="n">
        <v>12465.42</v>
      </c>
      <c r="H71" s="7" t="n">
        <v>15554.77</v>
      </c>
      <c r="I71" s="7" t="n">
        <v>8371.06</v>
      </c>
      <c r="J71" s="7" t="n">
        <v>2125.85</v>
      </c>
      <c r="K71" s="7" t="n">
        <v>10013.89</v>
      </c>
      <c r="L71" s="7" t="n">
        <v>13229.46</v>
      </c>
      <c r="M71" s="7" t="n">
        <v>1781.44</v>
      </c>
      <c r="N71" s="8" t="n">
        <f aca="false">SUM(D71:M71)</f>
        <v>91866.53</v>
      </c>
    </row>
    <row r="72" customFormat="false" ht="15" hidden="false" customHeight="false" outlineLevel="0" collapsed="false">
      <c r="A72" s="5" t="n">
        <v>46377</v>
      </c>
      <c r="B72" s="6" t="s">
        <v>21</v>
      </c>
      <c r="C72" s="6" t="s">
        <v>25</v>
      </c>
      <c r="D72" s="7" t="n">
        <v>6874.34</v>
      </c>
      <c r="E72" s="7" t="n">
        <v>5567.11</v>
      </c>
      <c r="F72" s="7" t="n">
        <v>10713.67</v>
      </c>
      <c r="G72" s="7" t="n">
        <v>8844.06</v>
      </c>
      <c r="H72" s="7" t="n">
        <v>12256.42</v>
      </c>
      <c r="I72" s="7" t="n">
        <v>7552.24</v>
      </c>
      <c r="J72" s="7" t="n">
        <v>1918.68</v>
      </c>
      <c r="K72" s="7" t="n">
        <v>7418.8</v>
      </c>
      <c r="L72" s="7" t="n">
        <v>7691.08</v>
      </c>
      <c r="M72" s="7" t="n">
        <v>1146.68</v>
      </c>
      <c r="N72" s="8" t="n">
        <f aca="false">SUM(D72:M72)</f>
        <v>69983.08</v>
      </c>
    </row>
    <row r="73" customFormat="false" ht="15" hidden="false" customHeight="false" outlineLevel="0" collapsed="false">
      <c r="A73" s="5" t="n">
        <v>46378</v>
      </c>
      <c r="B73" s="6" t="s">
        <v>22</v>
      </c>
      <c r="C73" s="6" t="s">
        <v>25</v>
      </c>
      <c r="D73" s="7" t="n">
        <v>7088.25</v>
      </c>
      <c r="E73" s="7" t="n">
        <v>5572.63</v>
      </c>
      <c r="F73" s="7" t="n">
        <v>10738.57</v>
      </c>
      <c r="G73" s="7" t="n">
        <v>8617.93</v>
      </c>
      <c r="H73" s="7" t="n">
        <v>12837.8</v>
      </c>
      <c r="I73" s="7" t="n">
        <v>7577.63</v>
      </c>
      <c r="J73" s="7" t="n">
        <v>1923.68</v>
      </c>
      <c r="K73" s="7" t="n">
        <v>6853.32</v>
      </c>
      <c r="L73" s="7" t="n">
        <v>7590.74</v>
      </c>
      <c r="M73" s="7" t="n">
        <v>1071.51</v>
      </c>
      <c r="N73" s="8" t="n">
        <f aca="false">SUM(D73:M73)</f>
        <v>69872.06</v>
      </c>
    </row>
    <row r="74" customFormat="false" ht="15" hidden="false" customHeight="false" outlineLevel="0" collapsed="false">
      <c r="A74" s="5" t="n">
        <v>46379</v>
      </c>
      <c r="B74" s="6" t="s">
        <v>23</v>
      </c>
      <c r="C74" s="6" t="s">
        <v>25</v>
      </c>
      <c r="D74" s="7" t="n">
        <v>6968.51</v>
      </c>
      <c r="E74" s="7" t="n">
        <v>5401.34</v>
      </c>
      <c r="F74" s="7" t="n">
        <v>10625.35</v>
      </c>
      <c r="G74" s="7" t="n">
        <v>8850.28</v>
      </c>
      <c r="H74" s="7" t="n">
        <v>12768.16</v>
      </c>
      <c r="I74" s="7" t="n">
        <v>7294.7</v>
      </c>
      <c r="J74" s="7" t="n">
        <v>1905.02</v>
      </c>
      <c r="K74" s="7" t="n">
        <v>7100.06</v>
      </c>
      <c r="L74" s="7" t="n">
        <v>7700.07</v>
      </c>
      <c r="M74" s="7" t="n">
        <v>1056.72</v>
      </c>
      <c r="N74" s="8" t="n">
        <f aca="false">SUM(D74:M74)</f>
        <v>69670.21</v>
      </c>
    </row>
    <row r="75" customFormat="false" ht="15" hidden="false" customHeight="false" outlineLevel="0" collapsed="false">
      <c r="A75" s="5" t="n">
        <v>46380</v>
      </c>
      <c r="B75" s="6" t="s">
        <v>16</v>
      </c>
      <c r="C75" s="6" t="s">
        <v>25</v>
      </c>
      <c r="D75" s="7" t="n">
        <v>5936.02</v>
      </c>
      <c r="E75" s="7" t="n">
        <v>4318.25</v>
      </c>
      <c r="F75" s="7" t="n">
        <v>8689.12</v>
      </c>
      <c r="G75" s="7" t="n">
        <v>7395.85</v>
      </c>
      <c r="H75" s="7" t="n">
        <v>11025.13</v>
      </c>
      <c r="I75" s="7" t="n">
        <v>6451.61</v>
      </c>
      <c r="J75" s="7" t="n">
        <v>1525.62</v>
      </c>
      <c r="K75" s="7" t="n">
        <v>5524.82</v>
      </c>
      <c r="L75" s="7" t="n">
        <v>6085.12</v>
      </c>
      <c r="M75" s="7" t="n">
        <v>968.99</v>
      </c>
      <c r="N75" s="8" t="n">
        <f aca="false">SUM(D75:M75)</f>
        <v>57920.53</v>
      </c>
    </row>
    <row r="76" customFormat="false" ht="15" hidden="false" customHeight="false" outlineLevel="0" collapsed="false">
      <c r="A76" s="5" t="n">
        <v>46381</v>
      </c>
      <c r="B76" s="6" t="s">
        <v>18</v>
      </c>
      <c r="C76" s="6" t="s">
        <v>25</v>
      </c>
      <c r="D76" s="7" t="n">
        <v>8049.16</v>
      </c>
      <c r="E76" s="7" t="n">
        <v>6161.19</v>
      </c>
      <c r="F76" s="7" t="n">
        <v>9459.57</v>
      </c>
      <c r="G76" s="7" t="n">
        <v>13067.51</v>
      </c>
      <c r="H76" s="7" t="n">
        <v>13033.24</v>
      </c>
      <c r="I76" s="7" t="n">
        <v>9631.89</v>
      </c>
      <c r="J76" s="7" t="n">
        <v>2114.69</v>
      </c>
      <c r="K76" s="7" t="n">
        <v>10911.51</v>
      </c>
      <c r="L76" s="7" t="n">
        <v>12774.95</v>
      </c>
      <c r="M76" s="7" t="n">
        <v>2170.97</v>
      </c>
      <c r="N76" s="8" t="n">
        <f aca="false">SUM(D76:M76)</f>
        <v>87374.68</v>
      </c>
    </row>
    <row r="77" customFormat="false" ht="15" hidden="false" customHeight="false" outlineLevel="0" collapsed="false">
      <c r="A77" s="5" t="n">
        <v>46382</v>
      </c>
      <c r="B77" s="6" t="s">
        <v>19</v>
      </c>
      <c r="C77" s="6" t="s">
        <v>25</v>
      </c>
      <c r="D77" s="7" t="n">
        <v>7163.02</v>
      </c>
      <c r="E77" s="7" t="n">
        <v>6617.66</v>
      </c>
      <c r="F77" s="7" t="n">
        <v>13997.64</v>
      </c>
      <c r="G77" s="7" t="n">
        <v>15290.87</v>
      </c>
      <c r="H77" s="7" t="n">
        <v>16497.63</v>
      </c>
      <c r="I77" s="7" t="n">
        <v>9694.48</v>
      </c>
      <c r="J77" s="7" t="n">
        <v>2599.55</v>
      </c>
      <c r="K77" s="7" t="n">
        <v>10752.37</v>
      </c>
      <c r="L77" s="7" t="n">
        <v>13716.62</v>
      </c>
      <c r="M77" s="7" t="n">
        <v>2413.07</v>
      </c>
      <c r="N77" s="8" t="n">
        <f aca="false">SUM(D77:M77)</f>
        <v>98742.91</v>
      </c>
    </row>
    <row r="78" customFormat="false" ht="15" hidden="false" customHeight="false" outlineLevel="0" collapsed="false">
      <c r="A78" s="5" t="n">
        <v>46383</v>
      </c>
      <c r="B78" s="6" t="s">
        <v>20</v>
      </c>
      <c r="C78" s="6" t="s">
        <v>25</v>
      </c>
      <c r="D78" s="7" t="n">
        <v>7467.78</v>
      </c>
      <c r="E78" s="7" t="n">
        <v>6463.77</v>
      </c>
      <c r="F78" s="7" t="n">
        <v>13294.7</v>
      </c>
      <c r="G78" s="7" t="n">
        <v>16616.76</v>
      </c>
      <c r="H78" s="7" t="n">
        <v>16032.94</v>
      </c>
      <c r="I78" s="7" t="n">
        <v>9585.22</v>
      </c>
      <c r="J78" s="7" t="n">
        <v>2491.15</v>
      </c>
      <c r="K78" s="7" t="n">
        <v>12511.85</v>
      </c>
      <c r="L78" s="7" t="n">
        <v>15294.94</v>
      </c>
      <c r="M78" s="7" t="n">
        <v>2807.84</v>
      </c>
      <c r="N78" s="8" t="n">
        <f aca="false">SUM(D78:M78)</f>
        <v>102566.95</v>
      </c>
    </row>
    <row r="79" customFormat="false" ht="15" hidden="false" customHeight="false" outlineLevel="0" collapsed="false">
      <c r="A79" s="5" t="n">
        <v>46384</v>
      </c>
      <c r="B79" s="6" t="s">
        <v>21</v>
      </c>
      <c r="C79" s="6" t="s">
        <v>25</v>
      </c>
      <c r="D79" s="7" t="n">
        <v>7263.35</v>
      </c>
      <c r="E79" s="7" t="n">
        <v>4973.4</v>
      </c>
      <c r="F79" s="7" t="n">
        <v>11141.47</v>
      </c>
      <c r="G79" s="7" t="n">
        <v>14186.92</v>
      </c>
      <c r="H79" s="7" t="n">
        <v>13205.55</v>
      </c>
      <c r="I79" s="7" t="n">
        <v>9148.85</v>
      </c>
      <c r="J79" s="7" t="n">
        <v>2433.05</v>
      </c>
      <c r="K79" s="7" t="n">
        <v>11001.02</v>
      </c>
      <c r="L79" s="7" t="n">
        <v>10380.77</v>
      </c>
      <c r="M79" s="7" t="n">
        <v>2326.25</v>
      </c>
      <c r="N79" s="8" t="n">
        <f aca="false">SUM(D79:M79)</f>
        <v>86060.63</v>
      </c>
    </row>
    <row r="80" customFormat="false" ht="15" hidden="false" customHeight="false" outlineLevel="0" collapsed="false">
      <c r="A80" s="5" t="n">
        <v>46385</v>
      </c>
      <c r="B80" s="6" t="s">
        <v>22</v>
      </c>
      <c r="C80" s="6" t="s">
        <v>25</v>
      </c>
      <c r="D80" s="7" t="n">
        <v>7392.78</v>
      </c>
      <c r="E80" s="7" t="n">
        <v>4997.15</v>
      </c>
      <c r="F80" s="7" t="n">
        <v>10887.28</v>
      </c>
      <c r="G80" s="7" t="n">
        <v>13633.71</v>
      </c>
      <c r="H80" s="7" t="n">
        <v>13296.92</v>
      </c>
      <c r="I80" s="7" t="n">
        <v>8946.27</v>
      </c>
      <c r="J80" s="7" t="n">
        <v>2387.22</v>
      </c>
      <c r="K80" s="7" t="n">
        <v>10324.13</v>
      </c>
      <c r="L80" s="7" t="n">
        <v>9965.52</v>
      </c>
      <c r="M80" s="7" t="n">
        <v>2217.94</v>
      </c>
      <c r="N80" s="8" t="n">
        <f aca="false">SUM(D80:M80)</f>
        <v>84048.92</v>
      </c>
    </row>
    <row r="81" customFormat="false" ht="15" hidden="false" customHeight="false" outlineLevel="0" collapsed="false">
      <c r="A81" s="5" t="n">
        <v>46386</v>
      </c>
      <c r="B81" s="6" t="s">
        <v>23</v>
      </c>
      <c r="C81" s="6" t="s">
        <v>25</v>
      </c>
      <c r="D81" s="7" t="n">
        <v>7222.03</v>
      </c>
      <c r="E81" s="7" t="n">
        <v>4940.38</v>
      </c>
      <c r="F81" s="7" t="n">
        <v>10673.96</v>
      </c>
      <c r="G81" s="7" t="n">
        <v>13355.27</v>
      </c>
      <c r="H81" s="7" t="n">
        <v>13184.3</v>
      </c>
      <c r="I81" s="7" t="n">
        <v>8641.18</v>
      </c>
      <c r="J81" s="7" t="n">
        <v>2312.96</v>
      </c>
      <c r="K81" s="7" t="n">
        <v>10412.46</v>
      </c>
      <c r="L81" s="7" t="n">
        <v>9799.46</v>
      </c>
      <c r="M81" s="7" t="n">
        <v>2147.44</v>
      </c>
      <c r="N81" s="8" t="n">
        <f aca="false">SUM(D81:M81)</f>
        <v>82689.44</v>
      </c>
    </row>
    <row r="82" customFormat="false" ht="15" hidden="false" customHeight="false" outlineLevel="0" collapsed="false">
      <c r="A82" s="5" t="n">
        <v>46387</v>
      </c>
      <c r="B82" s="6" t="s">
        <v>16</v>
      </c>
      <c r="C82" s="6" t="s">
        <v>25</v>
      </c>
      <c r="D82" s="7" t="n">
        <v>6530.71</v>
      </c>
      <c r="E82" s="7" t="n">
        <v>4989.06</v>
      </c>
      <c r="F82" s="7" t="n">
        <v>9143.57</v>
      </c>
      <c r="G82" s="7" t="n">
        <v>10150.62</v>
      </c>
      <c r="H82" s="7" t="n">
        <v>11698.78</v>
      </c>
      <c r="I82" s="7" t="n">
        <v>7687.28</v>
      </c>
      <c r="J82" s="7" t="n">
        <v>1830.33</v>
      </c>
      <c r="K82" s="7" t="n">
        <v>9810.5</v>
      </c>
      <c r="L82" s="7" t="n">
        <v>6933.79</v>
      </c>
      <c r="M82" s="7" t="n">
        <v>1560.49</v>
      </c>
      <c r="N82" s="8" t="n">
        <f aca="false">SUM(D82:M82)</f>
        <v>70335.13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3" customFormat="false" ht="15" hidden="false" customHeight="false" outlineLevel="0" collapsed="false">
      <c r="A3" s="9" t="s">
        <v>28</v>
      </c>
      <c r="B3" s="9" t="n">
        <f aca="false">SUMPRODUCT(ABS(E6:E54))</f>
        <v>0</v>
      </c>
    </row>
    <row r="5" customFormat="false" ht="15" hidden="false" customHeight="false" outlineLevel="0" collapsed="false">
      <c r="A5" s="3" t="s">
        <v>29</v>
      </c>
      <c r="B5" s="4" t="s">
        <v>30</v>
      </c>
      <c r="C5" s="4" t="s">
        <v>31</v>
      </c>
      <c r="D5" s="4" t="s">
        <v>32</v>
      </c>
      <c r="E5" s="4" t="s">
        <v>33</v>
      </c>
    </row>
    <row r="6" customFormat="false" ht="15" hidden="false" customHeight="false" outlineLevel="0" collapsed="false">
      <c r="A6" s="6" t="s">
        <v>5</v>
      </c>
      <c r="B6" s="6" t="s">
        <v>34</v>
      </c>
      <c r="C6" s="7" t="n">
        <v>128424.84</v>
      </c>
      <c r="D6" s="10" t="n">
        <f aca="false">SUMIFS('Daily run-rate 2026'!D$5:D$82,'Daily run-rate 2026'!$C$5:$C$82,"Oct 2026")</f>
        <v>128424.84</v>
      </c>
      <c r="E6" s="6" t="n">
        <f aca="false">ROUND(D6*100,0)-ROUND(C6*100,0)</f>
        <v>0</v>
      </c>
    </row>
    <row r="7" customFormat="false" ht="15" hidden="false" customHeight="false" outlineLevel="0" collapsed="false">
      <c r="A7" s="6" t="s">
        <v>5</v>
      </c>
      <c r="B7" s="6" t="s">
        <v>35</v>
      </c>
      <c r="C7" s="7" t="n">
        <v>233324.58</v>
      </c>
      <c r="D7" s="10" t="n">
        <f aca="false">SUMIFS('Daily run-rate 2026'!D$5:D$82,'Daily run-rate 2026'!$C$5:$C$82,"Nov 2026")</f>
        <v>233324.58</v>
      </c>
      <c r="E7" s="6" t="n">
        <f aca="false">ROUND(D7*100,0)-ROUND(C7*100,0)</f>
        <v>0</v>
      </c>
    </row>
    <row r="8" customFormat="false" ht="15" hidden="false" customHeight="false" outlineLevel="0" collapsed="false">
      <c r="A8" s="6" t="s">
        <v>5</v>
      </c>
      <c r="B8" s="6" t="s">
        <v>36</v>
      </c>
      <c r="C8" s="7" t="n">
        <v>226008.87</v>
      </c>
      <c r="D8" s="10" t="n">
        <f aca="false">SUMIFS('Daily run-rate 2026'!D$5:D$82,'Daily run-rate 2026'!$C$5:$C$82,"Dec 2026")</f>
        <v>226008.87</v>
      </c>
      <c r="E8" s="6" t="n">
        <f aca="false">ROUND(D8*100,0)-ROUND(C8*100,0)</f>
        <v>0</v>
      </c>
    </row>
    <row r="9" customFormat="false" ht="15" hidden="false" customHeight="false" outlineLevel="0" collapsed="false">
      <c r="A9" s="11" t="s">
        <v>5</v>
      </c>
      <c r="B9" s="11" t="s">
        <v>37</v>
      </c>
      <c r="C9" s="12" t="n">
        <f aca="false">SUM(C6:C8)</f>
        <v>587758.29</v>
      </c>
      <c r="D9" s="12" t="n">
        <f aca="false">SUM(D6:D8)</f>
        <v>587758.29</v>
      </c>
      <c r="E9" s="11" t="n">
        <f aca="false">ROUND(D9*100,0)-ROUND(C9*100,0)</f>
        <v>0</v>
      </c>
    </row>
    <row r="11" customFormat="false" ht="15" hidden="false" customHeight="false" outlineLevel="0" collapsed="false">
      <c r="A11" s="6" t="s">
        <v>6</v>
      </c>
      <c r="B11" s="6" t="s">
        <v>34</v>
      </c>
      <c r="C11" s="7" t="n">
        <v>110767.36</v>
      </c>
      <c r="D11" s="10" t="n">
        <f aca="false">SUMIFS('Daily run-rate 2026'!E$5:E$82,'Daily run-rate 2026'!$C$5:$C$82,"Oct 2026")</f>
        <v>110767.36</v>
      </c>
      <c r="E11" s="6" t="n">
        <f aca="false">ROUND(D11*100,0)-ROUND(C11*100,0)</f>
        <v>0</v>
      </c>
    </row>
    <row r="12" customFormat="false" ht="15" hidden="false" customHeight="false" outlineLevel="0" collapsed="false">
      <c r="A12" s="6" t="s">
        <v>6</v>
      </c>
      <c r="B12" s="6" t="s">
        <v>35</v>
      </c>
      <c r="C12" s="7" t="n">
        <v>204194.31</v>
      </c>
      <c r="D12" s="10" t="n">
        <f aca="false">SUMIFS('Daily run-rate 2026'!E$5:E$82,'Daily run-rate 2026'!$C$5:$C$82,"Nov 2026")</f>
        <v>204194.31</v>
      </c>
      <c r="E12" s="6" t="n">
        <f aca="false">ROUND(D12*100,0)-ROUND(C12*100,0)</f>
        <v>0</v>
      </c>
    </row>
    <row r="13" customFormat="false" ht="15" hidden="false" customHeight="false" outlineLevel="0" collapsed="false">
      <c r="A13" s="6" t="s">
        <v>6</v>
      </c>
      <c r="B13" s="6" t="s">
        <v>36</v>
      </c>
      <c r="C13" s="7" t="n">
        <v>189139.72</v>
      </c>
      <c r="D13" s="10" t="n">
        <f aca="false">SUMIFS('Daily run-rate 2026'!E$5:E$82,'Daily run-rate 2026'!$C$5:$C$82,"Dec 2026")</f>
        <v>189139.72</v>
      </c>
      <c r="E13" s="6" t="n">
        <f aca="false">ROUND(D13*100,0)-ROUND(C13*100,0)</f>
        <v>0</v>
      </c>
    </row>
    <row r="14" customFormat="false" ht="15" hidden="false" customHeight="false" outlineLevel="0" collapsed="false">
      <c r="A14" s="11" t="s">
        <v>6</v>
      </c>
      <c r="B14" s="11" t="s">
        <v>37</v>
      </c>
      <c r="C14" s="12" t="n">
        <f aca="false">SUM(C11:C13)</f>
        <v>504101.39</v>
      </c>
      <c r="D14" s="12" t="n">
        <f aca="false">SUM(D11:D13)</f>
        <v>504101.39</v>
      </c>
      <c r="E14" s="11" t="n">
        <f aca="false">ROUND(D14*100,0)-ROUND(C14*100,0)</f>
        <v>0</v>
      </c>
    </row>
    <row r="16" customFormat="false" ht="15" hidden="false" customHeight="false" outlineLevel="0" collapsed="false">
      <c r="A16" s="6" t="s">
        <v>7</v>
      </c>
      <c r="B16" s="6" t="s">
        <v>34</v>
      </c>
      <c r="C16" s="7" t="n">
        <v>163627.69</v>
      </c>
      <c r="D16" s="10" t="n">
        <f aca="false">SUMIFS('Daily run-rate 2026'!F$5:F$82,'Daily run-rate 2026'!$C$5:$C$82,"Oct 2026")</f>
        <v>163627.69</v>
      </c>
      <c r="E16" s="6" t="n">
        <f aca="false">ROUND(D16*100,0)-ROUND(C16*100,0)</f>
        <v>0</v>
      </c>
    </row>
    <row r="17" customFormat="false" ht="15" hidden="false" customHeight="false" outlineLevel="0" collapsed="false">
      <c r="A17" s="6" t="s">
        <v>7</v>
      </c>
      <c r="B17" s="6" t="s">
        <v>35</v>
      </c>
      <c r="C17" s="7" t="n">
        <v>313937.69</v>
      </c>
      <c r="D17" s="10" t="n">
        <f aca="false">SUMIFS('Daily run-rate 2026'!F$5:F$82,'Daily run-rate 2026'!$C$5:$C$82,"Nov 2026")</f>
        <v>313937.69</v>
      </c>
      <c r="E17" s="6" t="n">
        <f aca="false">ROUND(D17*100,0)-ROUND(C17*100,0)</f>
        <v>0</v>
      </c>
    </row>
    <row r="18" customFormat="false" ht="15" hidden="false" customHeight="false" outlineLevel="0" collapsed="false">
      <c r="A18" s="6" t="s">
        <v>7</v>
      </c>
      <c r="B18" s="6" t="s">
        <v>36</v>
      </c>
      <c r="C18" s="7" t="n">
        <v>336469.7</v>
      </c>
      <c r="D18" s="10" t="n">
        <f aca="false">SUMIFS('Daily run-rate 2026'!F$5:F$82,'Daily run-rate 2026'!$C$5:$C$82,"Dec 2026")</f>
        <v>336469.7</v>
      </c>
      <c r="E18" s="6" t="n">
        <f aca="false">ROUND(D18*100,0)-ROUND(C18*100,0)</f>
        <v>0</v>
      </c>
    </row>
    <row r="19" customFormat="false" ht="15" hidden="false" customHeight="false" outlineLevel="0" collapsed="false">
      <c r="A19" s="11" t="s">
        <v>7</v>
      </c>
      <c r="B19" s="11" t="s">
        <v>37</v>
      </c>
      <c r="C19" s="12" t="n">
        <f aca="false">SUM(C16:C18)</f>
        <v>814035.08</v>
      </c>
      <c r="D19" s="12" t="n">
        <f aca="false">SUM(D16:D18)</f>
        <v>814035.08</v>
      </c>
      <c r="E19" s="11" t="n">
        <f aca="false">ROUND(D19*100,0)-ROUND(C19*100,0)</f>
        <v>0</v>
      </c>
    </row>
    <row r="21" customFormat="false" ht="15" hidden="false" customHeight="false" outlineLevel="0" collapsed="false">
      <c r="A21" s="6" t="s">
        <v>8</v>
      </c>
      <c r="B21" s="6" t="s">
        <v>34</v>
      </c>
      <c r="C21" s="7" t="n">
        <v>157673.5</v>
      </c>
      <c r="D21" s="10" t="n">
        <f aca="false">SUMIFS('Daily run-rate 2026'!G$5:G$82,'Daily run-rate 2026'!$C$5:$C$82,"Oct 2026")</f>
        <v>157673.5</v>
      </c>
      <c r="E21" s="6" t="n">
        <f aca="false">ROUND(D21*100,0)-ROUND(C21*100,0)</f>
        <v>0</v>
      </c>
    </row>
    <row r="22" customFormat="false" ht="15" hidden="false" customHeight="false" outlineLevel="0" collapsed="false">
      <c r="A22" s="6" t="s">
        <v>8</v>
      </c>
      <c r="B22" s="6" t="s">
        <v>35</v>
      </c>
      <c r="C22" s="7" t="n">
        <v>277753.24</v>
      </c>
      <c r="D22" s="10" t="n">
        <f aca="false">SUMIFS('Daily run-rate 2026'!G$5:G$82,'Daily run-rate 2026'!$C$5:$C$82,"Nov 2026")</f>
        <v>277753.24</v>
      </c>
      <c r="E22" s="6" t="n">
        <f aca="false">ROUND(D22*100,0)-ROUND(C22*100,0)</f>
        <v>0</v>
      </c>
    </row>
    <row r="23" customFormat="false" ht="15" hidden="false" customHeight="false" outlineLevel="0" collapsed="false">
      <c r="A23" s="6" t="s">
        <v>8</v>
      </c>
      <c r="B23" s="6" t="s">
        <v>36</v>
      </c>
      <c r="C23" s="7" t="n">
        <v>304316.93</v>
      </c>
      <c r="D23" s="10" t="n">
        <f aca="false">SUMIFS('Daily run-rate 2026'!G$5:G$82,'Daily run-rate 2026'!$C$5:$C$82,"Dec 2026")</f>
        <v>304316.93</v>
      </c>
      <c r="E23" s="6" t="n">
        <f aca="false">ROUND(D23*100,0)-ROUND(C23*100,0)</f>
        <v>0</v>
      </c>
    </row>
    <row r="24" customFormat="false" ht="15" hidden="false" customHeight="false" outlineLevel="0" collapsed="false">
      <c r="A24" s="11" t="s">
        <v>8</v>
      </c>
      <c r="B24" s="11" t="s">
        <v>37</v>
      </c>
      <c r="C24" s="12" t="n">
        <f aca="false">SUM(C21:C23)</f>
        <v>739743.67</v>
      </c>
      <c r="D24" s="12" t="n">
        <f aca="false">SUM(D21:D23)</f>
        <v>739743.67</v>
      </c>
      <c r="E24" s="11" t="n">
        <f aca="false">ROUND(D24*100,0)-ROUND(C24*100,0)</f>
        <v>0</v>
      </c>
    </row>
    <row r="26" customFormat="false" ht="15" hidden="false" customHeight="false" outlineLevel="0" collapsed="false">
      <c r="A26" s="6" t="s">
        <v>9</v>
      </c>
      <c r="B26" s="6" t="s">
        <v>34</v>
      </c>
      <c r="C26" s="7" t="n">
        <v>210956.77</v>
      </c>
      <c r="D26" s="10" t="n">
        <f aca="false">SUMIFS('Daily run-rate 2026'!H$5:H$82,'Daily run-rate 2026'!$C$5:$C$82,"Oct 2026")</f>
        <v>210956.77</v>
      </c>
      <c r="E26" s="6" t="n">
        <f aca="false">ROUND(D26*100,0)-ROUND(C26*100,0)</f>
        <v>0</v>
      </c>
    </row>
    <row r="27" customFormat="false" ht="15" hidden="false" customHeight="false" outlineLevel="0" collapsed="false">
      <c r="A27" s="6" t="s">
        <v>9</v>
      </c>
      <c r="B27" s="6" t="s">
        <v>35</v>
      </c>
      <c r="C27" s="7" t="n">
        <v>376945.29</v>
      </c>
      <c r="D27" s="10" t="n">
        <f aca="false">SUMIFS('Daily run-rate 2026'!H$5:H$82,'Daily run-rate 2026'!$C$5:$C$82,"Nov 2026")</f>
        <v>376945.29</v>
      </c>
      <c r="E27" s="6" t="n">
        <f aca="false">ROUND(D27*100,0)-ROUND(C27*100,0)</f>
        <v>0</v>
      </c>
    </row>
    <row r="28" customFormat="false" ht="15" hidden="false" customHeight="false" outlineLevel="0" collapsed="false">
      <c r="A28" s="6" t="s">
        <v>9</v>
      </c>
      <c r="B28" s="6" t="s">
        <v>36</v>
      </c>
      <c r="C28" s="7" t="n">
        <v>403870.34</v>
      </c>
      <c r="D28" s="10" t="n">
        <f aca="false">SUMIFS('Daily run-rate 2026'!H$5:H$82,'Daily run-rate 2026'!$C$5:$C$82,"Dec 2026")</f>
        <v>403870.34</v>
      </c>
      <c r="E28" s="6" t="n">
        <f aca="false">ROUND(D28*100,0)-ROUND(C28*100,0)</f>
        <v>0</v>
      </c>
    </row>
    <row r="29" customFormat="false" ht="15" hidden="false" customHeight="false" outlineLevel="0" collapsed="false">
      <c r="A29" s="11" t="s">
        <v>9</v>
      </c>
      <c r="B29" s="11" t="s">
        <v>37</v>
      </c>
      <c r="C29" s="12" t="n">
        <f aca="false">SUM(C26:C28)</f>
        <v>991772.4</v>
      </c>
      <c r="D29" s="12" t="n">
        <f aca="false">SUM(D26:D28)</f>
        <v>991772.4</v>
      </c>
      <c r="E29" s="11" t="n">
        <f aca="false">ROUND(D29*100,0)-ROUND(C29*100,0)</f>
        <v>0</v>
      </c>
    </row>
    <row r="31" customFormat="false" ht="15" hidden="false" customHeight="false" outlineLevel="0" collapsed="false">
      <c r="A31" s="6" t="s">
        <v>10</v>
      </c>
      <c r="B31" s="6" t="s">
        <v>34</v>
      </c>
      <c r="C31" s="7" t="n">
        <v>131112.72</v>
      </c>
      <c r="D31" s="10" t="n">
        <f aca="false">SUMIFS('Daily run-rate 2026'!I$5:I$82,'Daily run-rate 2026'!$C$5:$C$82,"Oct 2026")</f>
        <v>131112.72</v>
      </c>
      <c r="E31" s="6" t="n">
        <f aca="false">ROUND(D31*100,0)-ROUND(C31*100,0)</f>
        <v>0</v>
      </c>
    </row>
    <row r="32" customFormat="false" ht="15" hidden="false" customHeight="false" outlineLevel="0" collapsed="false">
      <c r="A32" s="6" t="s">
        <v>10</v>
      </c>
      <c r="B32" s="6" t="s">
        <v>35</v>
      </c>
      <c r="C32" s="7" t="n">
        <v>234003.42</v>
      </c>
      <c r="D32" s="10" t="n">
        <f aca="false">SUMIFS('Daily run-rate 2026'!I$5:I$82,'Daily run-rate 2026'!$C$5:$C$82,"Nov 2026")</f>
        <v>234003.42</v>
      </c>
      <c r="E32" s="6" t="n">
        <f aca="false">ROUND(D32*100,0)-ROUND(C32*100,0)</f>
        <v>0</v>
      </c>
    </row>
    <row r="33" customFormat="false" ht="15" hidden="false" customHeight="false" outlineLevel="0" collapsed="false">
      <c r="A33" s="6" t="s">
        <v>10</v>
      </c>
      <c r="B33" s="6" t="s">
        <v>36</v>
      </c>
      <c r="C33" s="7" t="n">
        <v>242281.78</v>
      </c>
      <c r="D33" s="10" t="n">
        <f aca="false">SUMIFS('Daily run-rate 2026'!I$5:I$82,'Daily run-rate 2026'!$C$5:$C$82,"Dec 2026")</f>
        <v>242281.78</v>
      </c>
      <c r="E33" s="6" t="n">
        <f aca="false">ROUND(D33*100,0)-ROUND(C33*100,0)</f>
        <v>0</v>
      </c>
    </row>
    <row r="34" customFormat="false" ht="15" hidden="false" customHeight="false" outlineLevel="0" collapsed="false">
      <c r="A34" s="11" t="s">
        <v>10</v>
      </c>
      <c r="B34" s="11" t="s">
        <v>37</v>
      </c>
      <c r="C34" s="12" t="n">
        <f aca="false">SUM(C31:C33)</f>
        <v>607397.92</v>
      </c>
      <c r="D34" s="12" t="n">
        <f aca="false">SUM(D31:D33)</f>
        <v>607397.92</v>
      </c>
      <c r="E34" s="11" t="n">
        <f aca="false">ROUND(D34*100,0)-ROUND(C34*100,0)</f>
        <v>0</v>
      </c>
    </row>
    <row r="36" customFormat="false" ht="15" hidden="false" customHeight="false" outlineLevel="0" collapsed="false">
      <c r="A36" s="6" t="s">
        <v>11</v>
      </c>
      <c r="B36" s="6" t="s">
        <v>34</v>
      </c>
      <c r="C36" s="7" t="n">
        <v>37989.46</v>
      </c>
      <c r="D36" s="10" t="n">
        <f aca="false">SUMIFS('Daily run-rate 2026'!J$5:J$82,'Daily run-rate 2026'!$C$5:$C$82,"Oct 2026")</f>
        <v>37989.46</v>
      </c>
      <c r="E36" s="6" t="n">
        <f aca="false">ROUND(D36*100,0)-ROUND(C36*100,0)</f>
        <v>0</v>
      </c>
    </row>
    <row r="37" customFormat="false" ht="15" hidden="false" customHeight="false" outlineLevel="0" collapsed="false">
      <c r="A37" s="6" t="s">
        <v>11</v>
      </c>
      <c r="B37" s="6" t="s">
        <v>35</v>
      </c>
      <c r="C37" s="7" t="n">
        <v>63561.22</v>
      </c>
      <c r="D37" s="10" t="n">
        <f aca="false">SUMIFS('Daily run-rate 2026'!J$5:J$82,'Daily run-rate 2026'!$C$5:$C$82,"Nov 2026")</f>
        <v>63561.22</v>
      </c>
      <c r="E37" s="6" t="n">
        <f aca="false">ROUND(D37*100,0)-ROUND(C37*100,0)</f>
        <v>0</v>
      </c>
    </row>
    <row r="38" customFormat="false" ht="15" hidden="false" customHeight="false" outlineLevel="0" collapsed="false">
      <c r="A38" s="6" t="s">
        <v>11</v>
      </c>
      <c r="B38" s="6" t="s">
        <v>36</v>
      </c>
      <c r="C38" s="7" t="n">
        <v>63536.28</v>
      </c>
      <c r="D38" s="10" t="n">
        <f aca="false">SUMIFS('Daily run-rate 2026'!J$5:J$82,'Daily run-rate 2026'!$C$5:$C$82,"Dec 2026")</f>
        <v>63536.28</v>
      </c>
      <c r="E38" s="6" t="n">
        <f aca="false">ROUND(D38*100,0)-ROUND(C38*100,0)</f>
        <v>0</v>
      </c>
    </row>
    <row r="39" customFormat="false" ht="15" hidden="false" customHeight="false" outlineLevel="0" collapsed="false">
      <c r="A39" s="11" t="s">
        <v>11</v>
      </c>
      <c r="B39" s="11" t="s">
        <v>37</v>
      </c>
      <c r="C39" s="12" t="n">
        <f aca="false">SUM(C36:C38)</f>
        <v>165086.96</v>
      </c>
      <c r="D39" s="12" t="n">
        <f aca="false">SUM(D36:D38)</f>
        <v>165086.96</v>
      </c>
      <c r="E39" s="11" t="n">
        <f aca="false">ROUND(D39*100,0)-ROUND(C39*100,0)</f>
        <v>0</v>
      </c>
    </row>
    <row r="41" customFormat="false" ht="15" hidden="false" customHeight="false" outlineLevel="0" collapsed="false">
      <c r="A41" s="6" t="s">
        <v>12</v>
      </c>
      <c r="B41" s="6" t="s">
        <v>34</v>
      </c>
      <c r="C41" s="7" t="n">
        <v>142428.47</v>
      </c>
      <c r="D41" s="10" t="n">
        <f aca="false">SUMIFS('Daily run-rate 2026'!K$5:K$82,'Daily run-rate 2026'!$C$5:$C$82,"Oct 2026")</f>
        <v>142428.47</v>
      </c>
      <c r="E41" s="6" t="n">
        <f aca="false">ROUND(D41*100,0)-ROUND(C41*100,0)</f>
        <v>0</v>
      </c>
    </row>
    <row r="42" customFormat="false" ht="15" hidden="false" customHeight="false" outlineLevel="0" collapsed="false">
      <c r="A42" s="6" t="s">
        <v>12</v>
      </c>
      <c r="B42" s="6" t="s">
        <v>35</v>
      </c>
      <c r="C42" s="7" t="n">
        <v>257206.19</v>
      </c>
      <c r="D42" s="10" t="n">
        <f aca="false">SUMIFS('Daily run-rate 2026'!K$5:K$82,'Daily run-rate 2026'!$C$5:$C$82,"Nov 2026")</f>
        <v>257206.19</v>
      </c>
      <c r="E42" s="6" t="n">
        <f aca="false">ROUND(D42*100,0)-ROUND(C42*100,0)</f>
        <v>0</v>
      </c>
    </row>
    <row r="43" customFormat="false" ht="15" hidden="false" customHeight="false" outlineLevel="0" collapsed="false">
      <c r="A43" s="6" t="s">
        <v>12</v>
      </c>
      <c r="B43" s="6" t="s">
        <v>36</v>
      </c>
      <c r="C43" s="7" t="n">
        <v>253587.72</v>
      </c>
      <c r="D43" s="10" t="n">
        <f aca="false">SUMIFS('Daily run-rate 2026'!K$5:K$82,'Daily run-rate 2026'!$C$5:$C$82,"Dec 2026")</f>
        <v>253587.72</v>
      </c>
      <c r="E43" s="6" t="n">
        <f aca="false">ROUND(D43*100,0)-ROUND(C43*100,0)</f>
        <v>0</v>
      </c>
    </row>
    <row r="44" customFormat="false" ht="15" hidden="false" customHeight="false" outlineLevel="0" collapsed="false">
      <c r="A44" s="11" t="s">
        <v>12</v>
      </c>
      <c r="B44" s="11" t="s">
        <v>37</v>
      </c>
      <c r="C44" s="12" t="n">
        <f aca="false">SUM(C41:C43)</f>
        <v>653222.38</v>
      </c>
      <c r="D44" s="12" t="n">
        <f aca="false">SUM(D41:D43)</f>
        <v>653222.38</v>
      </c>
      <c r="E44" s="11" t="n">
        <f aca="false">ROUND(D44*100,0)-ROUND(C44*100,0)</f>
        <v>0</v>
      </c>
    </row>
    <row r="46" customFormat="false" ht="15" hidden="false" customHeight="false" outlineLevel="0" collapsed="false">
      <c r="A46" s="6" t="s">
        <v>13</v>
      </c>
      <c r="B46" s="6" t="s">
        <v>34</v>
      </c>
      <c r="C46" s="7" t="n">
        <v>148914.46</v>
      </c>
      <c r="D46" s="10" t="n">
        <f aca="false">SUMIFS('Daily run-rate 2026'!L$5:L$82,'Daily run-rate 2026'!$C$5:$C$82,"Oct 2026")</f>
        <v>148914.46</v>
      </c>
      <c r="E46" s="6" t="n">
        <f aca="false">ROUND(D46*100,0)-ROUND(C46*100,0)</f>
        <v>0</v>
      </c>
    </row>
    <row r="47" customFormat="false" ht="15" hidden="false" customHeight="false" outlineLevel="0" collapsed="false">
      <c r="A47" s="6" t="s">
        <v>13</v>
      </c>
      <c r="B47" s="6" t="s">
        <v>35</v>
      </c>
      <c r="C47" s="7" t="n">
        <v>269354.91</v>
      </c>
      <c r="D47" s="10" t="n">
        <f aca="false">SUMIFS('Daily run-rate 2026'!L$5:L$82,'Daily run-rate 2026'!$C$5:$C$82,"Nov 2026")</f>
        <v>269354.91</v>
      </c>
      <c r="E47" s="6" t="n">
        <f aca="false">ROUND(D47*100,0)-ROUND(C47*100,0)</f>
        <v>0</v>
      </c>
    </row>
    <row r="48" customFormat="false" ht="15" hidden="false" customHeight="false" outlineLevel="0" collapsed="false">
      <c r="A48" s="6" t="s">
        <v>13</v>
      </c>
      <c r="B48" s="6" t="s">
        <v>36</v>
      </c>
      <c r="C48" s="7" t="n">
        <v>276457.9</v>
      </c>
      <c r="D48" s="10" t="n">
        <f aca="false">SUMIFS('Daily run-rate 2026'!L$5:L$82,'Daily run-rate 2026'!$C$5:$C$82,"Dec 2026")</f>
        <v>276457.9</v>
      </c>
      <c r="E48" s="6" t="n">
        <f aca="false">ROUND(D48*100,0)-ROUND(C48*100,0)</f>
        <v>0</v>
      </c>
    </row>
    <row r="49" customFormat="false" ht="15" hidden="false" customHeight="false" outlineLevel="0" collapsed="false">
      <c r="A49" s="11" t="s">
        <v>13</v>
      </c>
      <c r="B49" s="11" t="s">
        <v>37</v>
      </c>
      <c r="C49" s="12" t="n">
        <f aca="false">SUM(C46:C48)</f>
        <v>694727.27</v>
      </c>
      <c r="D49" s="12" t="n">
        <f aca="false">SUM(D46:D48)</f>
        <v>694727.27</v>
      </c>
      <c r="E49" s="11" t="n">
        <f aca="false">ROUND(D49*100,0)-ROUND(C49*100,0)</f>
        <v>0</v>
      </c>
    </row>
    <row r="51" customFormat="false" ht="15" hidden="false" customHeight="false" outlineLevel="0" collapsed="false">
      <c r="A51" s="6" t="s">
        <v>14</v>
      </c>
      <c r="B51" s="6" t="s">
        <v>34</v>
      </c>
      <c r="C51" s="7" t="n">
        <v>28140.61</v>
      </c>
      <c r="D51" s="10" t="n">
        <f aca="false">SUMIFS('Daily run-rate 2026'!M$5:M$82,'Daily run-rate 2026'!$C$5:$C$82,"Oct 2026")</f>
        <v>28140.61</v>
      </c>
      <c r="E51" s="6" t="n">
        <f aca="false">ROUND(D51*100,0)-ROUND(C51*100,0)</f>
        <v>0</v>
      </c>
    </row>
    <row r="52" customFormat="false" ht="15" hidden="false" customHeight="false" outlineLevel="0" collapsed="false">
      <c r="A52" s="6" t="s">
        <v>14</v>
      </c>
      <c r="B52" s="6" t="s">
        <v>35</v>
      </c>
      <c r="C52" s="7" t="n">
        <v>46550.22</v>
      </c>
      <c r="D52" s="10" t="n">
        <f aca="false">SUMIFS('Daily run-rate 2026'!M$5:M$82,'Daily run-rate 2026'!$C$5:$C$82,"Nov 2026")</f>
        <v>46550.22</v>
      </c>
      <c r="E52" s="6" t="n">
        <f aca="false">ROUND(D52*100,0)-ROUND(C52*100,0)</f>
        <v>0</v>
      </c>
    </row>
    <row r="53" customFormat="false" ht="15" hidden="false" customHeight="false" outlineLevel="0" collapsed="false">
      <c r="A53" s="6" t="s">
        <v>14</v>
      </c>
      <c r="B53" s="6" t="s">
        <v>36</v>
      </c>
      <c r="C53" s="7" t="n">
        <v>45028.17</v>
      </c>
      <c r="D53" s="10" t="n">
        <f aca="false">SUMIFS('Daily run-rate 2026'!M$5:M$82,'Daily run-rate 2026'!$C$5:$C$82,"Dec 2026")</f>
        <v>45028.17</v>
      </c>
      <c r="E53" s="6" t="n">
        <f aca="false">ROUND(D53*100,0)-ROUND(C53*100,0)</f>
        <v>0</v>
      </c>
    </row>
    <row r="54" customFormat="false" ht="15" hidden="false" customHeight="false" outlineLevel="0" collapsed="false">
      <c r="A54" s="11" t="s">
        <v>14</v>
      </c>
      <c r="B54" s="11" t="s">
        <v>37</v>
      </c>
      <c r="C54" s="12" t="n">
        <f aca="false">SUM(C51:C53)</f>
        <v>119719</v>
      </c>
      <c r="D54" s="12" t="n">
        <f aca="false">SUM(D51:D53)</f>
        <v>119719</v>
      </c>
      <c r="E54" s="11" t="n">
        <f aca="false">ROUND(D54*100,0)-ROUND(C54*100,0)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38</v>
      </c>
    </row>
    <row r="3" customFormat="false" ht="15" hidden="false" customHeight="false" outlineLevel="0" collapsed="false">
      <c r="A3" s="6" t="s">
        <v>39</v>
      </c>
    </row>
    <row r="4" customFormat="false" ht="15" hidden="false" customHeight="false" outlineLevel="0" collapsed="false">
      <c r="A4" s="6" t="s">
        <v>40</v>
      </c>
    </row>
    <row r="5" customFormat="false" ht="15" hidden="false" customHeight="false" outlineLevel="0" collapsed="false">
      <c r="A5" s="6" t="s">
        <v>41</v>
      </c>
    </row>
    <row r="6" customFormat="false" ht="15" hidden="false" customHeight="false" outlineLevel="0" collapsed="false">
      <c r="A6" s="6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2026-10-19T21:15:31Z</dcterms:created>
  <dc:creator>openpyxl</dc:creator>
  <dc:description/>
  <dc:language>en-US</dc:language>
  <cp:lastModifiedBy/>
  <dcterms:modified xsi:type="dcterms:W3CDTF">2026-10-19T21:15:31Z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